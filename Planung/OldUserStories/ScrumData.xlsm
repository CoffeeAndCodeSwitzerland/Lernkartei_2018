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10" windowWidth="14810" windowHeight="8010" activeTab="3"/>
  </bookViews>
  <sheets>
    <sheet name="Sprint1Backlog" sheetId="3" r:id="rId1"/>
    <sheet name="SortiesAndPBL" sheetId="1" r:id="rId2"/>
    <sheet name="Stakeholders" sheetId="2" r:id="rId3"/>
    <sheet name="Team" sheetId="4" r:id="rId4"/>
    <sheet name="Tools" sheetId="5" r:id="rId5"/>
  </sheets>
  <calcPr calcId="152511"/>
</workbook>
</file>

<file path=xl/calcChain.xml><?xml version="1.0" encoding="utf-8"?>
<calcChain xmlns="http://schemas.openxmlformats.org/spreadsheetml/2006/main">
  <c r="B10" i="5" l="1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C4" i="3" l="1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A4" i="4"/>
  <c r="A5" i="4" s="1"/>
  <c r="A6" i="4" s="1"/>
  <c r="A7" i="4" s="1"/>
  <c r="A8" i="4" s="1"/>
  <c r="A9" i="4" s="1"/>
  <c r="A3" i="4"/>
  <c r="E47" i="3"/>
  <c r="D47" i="3"/>
  <c r="C47" i="3"/>
  <c r="E46" i="3"/>
  <c r="D46" i="3"/>
  <c r="C46" i="3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D29" i="3"/>
  <c r="C29" i="3"/>
  <c r="E28" i="3"/>
  <c r="D28" i="3"/>
  <c r="C28" i="3"/>
  <c r="E27" i="3"/>
  <c r="D27" i="3"/>
  <c r="C27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D8" i="3"/>
  <c r="C8" i="3"/>
  <c r="E9" i="3"/>
  <c r="D9" i="3"/>
  <c r="C9" i="3"/>
  <c r="A36" i="1" l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4" i="1"/>
  <c r="A15" i="1" s="1"/>
  <c r="A13" i="1"/>
  <c r="A12" i="1"/>
  <c r="A11" i="1"/>
  <c r="A10" i="1"/>
  <c r="A9" i="1"/>
  <c r="A8" i="1"/>
  <c r="A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E8" i="3" s="1"/>
  <c r="A5" i="2"/>
  <c r="A6" i="2" s="1"/>
  <c r="A7" i="2" s="1"/>
  <c r="A8" i="2" s="1"/>
  <c r="A4" i="2"/>
</calcChain>
</file>

<file path=xl/sharedStrings.xml><?xml version="1.0" encoding="utf-8"?>
<sst xmlns="http://schemas.openxmlformats.org/spreadsheetml/2006/main" count="172" uniqueCount="128">
  <si>
    <t>Scrum Master</t>
  </si>
  <si>
    <t>Hugo</t>
  </si>
  <si>
    <t>Lernkartei WISS</t>
  </si>
  <si>
    <t>days</t>
  </si>
  <si>
    <t>Bund</t>
  </si>
  <si>
    <t>WISS</t>
  </si>
  <si>
    <t>Rolle</t>
  </si>
  <si>
    <t>Ziel/Wunsch</t>
  </si>
  <si>
    <t>Java Coach</t>
  </si>
  <si>
    <t>Nr.</t>
  </si>
  <si>
    <t>F/Q</t>
  </si>
  <si>
    <t>Prio.</t>
  </si>
  <si>
    <t>F/Q:</t>
  </si>
  <si>
    <t>Mp/Kgg:</t>
  </si>
  <si>
    <t>Muss mit Prio. 1,2,3 (1 = höchste) oder Kann mit Gewicht 1..10 (10 = hoch)</t>
  </si>
  <si>
    <t>Legende:</t>
  </si>
  <si>
    <t>Q</t>
  </si>
  <si>
    <t>M2</t>
  </si>
  <si>
    <t>Team</t>
  </si>
  <si>
    <t>die Lehrlinge möglichst viele Java Kenntnisse mitnehmen können</t>
  </si>
  <si>
    <t>User Stories (Stakeholder Stories)</t>
  </si>
  <si>
    <t>eine für Java ideale Lernkartei (LK)</t>
  </si>
  <si>
    <t>eine lern-motivierende LK</t>
  </si>
  <si>
    <t>ich möglichst oft damit lerne</t>
  </si>
  <si>
    <t>Funktional / Qualitativ / Technisch</t>
  </si>
  <si>
    <t>eine Multimedia fähige LK</t>
  </si>
  <si>
    <t>die Lerninhalte modern, flexibel und motivierend werden</t>
  </si>
  <si>
    <t>M1</t>
  </si>
  <si>
    <t>Entwickler</t>
  </si>
  <si>
    <t>Dozent der WISS</t>
  </si>
  <si>
    <t>Stakeholders</t>
  </si>
  <si>
    <t>eine LK auf dem neuesten lernpsychologischen Stand</t>
  </si>
  <si>
    <t>der Lerneffekt maximiert werden kann</t>
  </si>
  <si>
    <t>F</t>
  </si>
  <si>
    <t>eine Lernpunktevergabe</t>
  </si>
  <si>
    <t>diese als zusätzliche Motivation zum Bsp. in einem Spiel ausgegeben werden können</t>
  </si>
  <si>
    <t>der Lernerfolg gemessen und sichtbar gemacht wird</t>
  </si>
  <si>
    <t>der sichtbare Lernerfolg den Lernenden zusätzlich motiviert</t>
  </si>
  <si>
    <t>die Wissenseingabe auch mutimedial einfach ist</t>
  </si>
  <si>
    <t>damit diese zur Eingabe von möglichst viel und abwechslungsreichem Wissen führt</t>
  </si>
  <si>
    <t>alle Multimedialen Möglichkeiten genutzt werden (Audio, Video etc.)</t>
  </si>
  <si>
    <t>damit auch eine maximale Flexibilität entsteht</t>
  </si>
  <si>
    <t>in einem Lernpool zusammengeführt und verwaltet werden kann</t>
  </si>
  <si>
    <t>damit Arbeitsteilung möglich wird</t>
  </si>
  <si>
    <t>damit mehrere Lernende die gleiche LK bearbeiten können</t>
  </si>
  <si>
    <t>K10</t>
  </si>
  <si>
    <t>die Kartei an andere Lernende verteilt werden kann und von anderen erhalten werden kann</t>
  </si>
  <si>
    <t>zwei Lernkarteien zusammengeführt werden können</t>
  </si>
  <si>
    <t>damit Arbeitsteilung und parallele Bearbeitungen möglich werden</t>
  </si>
  <si>
    <t>die LK auf Smartphones portiert werden können</t>
  </si>
  <si>
    <t>damit man auch via Handy lernen kann</t>
  </si>
  <si>
    <t>die Eingabe von Wissen auch per Smartphone erfolgen kann</t>
  </si>
  <si>
    <t>damit man Wissen auch per Handy zur Verfügung stellen kann</t>
  </si>
  <si>
    <t>K8</t>
  </si>
  <si>
    <t>Funktion oder Nutzen für ... (Optional)</t>
  </si>
  <si>
    <t>Miro</t>
  </si>
  <si>
    <t>Auftraggeber</t>
  </si>
  <si>
    <t>Hugo Lucca</t>
  </si>
  <si>
    <t>Wiss (Peter Thomet)</t>
  </si>
  <si>
    <t>Team menber 1</t>
  </si>
  <si>
    <t>Team menber 2</t>
  </si>
  <si>
    <t>Team menber 3</t>
  </si>
  <si>
    <t>Team menber 4</t>
  </si>
  <si>
    <t>Team menber 5</t>
  </si>
  <si>
    <t>Team menber 6</t>
  </si>
  <si>
    <t>Abrecht</t>
  </si>
  <si>
    <t>Nina</t>
  </si>
  <si>
    <t>Egger</t>
  </si>
  <si>
    <t>Schneiter</t>
  </si>
  <si>
    <t>Roger</t>
  </si>
  <si>
    <t>Joel</t>
  </si>
  <si>
    <t>Häberli</t>
  </si>
  <si>
    <t>Tim</t>
  </si>
  <si>
    <t>Leibacher</t>
  </si>
  <si>
    <t>David</t>
  </si>
  <si>
    <t>Schor</t>
  </si>
  <si>
    <t>Yanis</t>
  </si>
  <si>
    <t>Weibel</t>
  </si>
  <si>
    <t>Product Backlog</t>
  </si>
  <si>
    <t>Anforderung und Ursprung</t>
  </si>
  <si>
    <t>auch Verständnisfragen gestellt werden können</t>
  </si>
  <si>
    <t>damit die zweite Taxonomiestufe abgefragt werden kann</t>
  </si>
  <si>
    <t>auch Anwendungsprobleme gestellt werden können</t>
  </si>
  <si>
    <t>damit die dritte Taxonomiestufe abgefragt werdeb kann</t>
  </si>
  <si>
    <t>M3</t>
  </si>
  <si>
    <t>Lucca</t>
  </si>
  <si>
    <t>Sprint</t>
  </si>
  <si>
    <t>Ref.No</t>
  </si>
  <si>
    <t>Anforderung</t>
  </si>
  <si>
    <t>Worker</t>
  </si>
  <si>
    <t>Target, main activity: inception, analysis, feasibility and creativity</t>
  </si>
  <si>
    <t>Name:</t>
  </si>
  <si>
    <t>Est. Duration:</t>
  </si>
  <si>
    <t># h</t>
  </si>
  <si>
    <t>OpenSource</t>
  </si>
  <si>
    <t>Studierende</t>
  </si>
  <si>
    <t>Product owner</t>
  </si>
  <si>
    <t>SubProject</t>
  </si>
  <si>
    <t>Name</t>
  </si>
  <si>
    <t>Responsability/KnowHow</t>
  </si>
  <si>
    <t>Koordination, Coaching, Scrum Backlog</t>
  </si>
  <si>
    <t>Elster Spiel (Strategy, Statemachines, Random, Mathe)</t>
  </si>
  <si>
    <t>Paint (Java Learning, Graphic-Card-Design,  Creativity, Editor and Paint Functionality)</t>
  </si>
  <si>
    <t>Games</t>
  </si>
  <si>
    <t>Java Code Generator (XML Reader/Writer, CSV, HTML)</t>
  </si>
  <si>
    <t>Card-Editor</t>
  </si>
  <si>
    <t>Scrum/Workflow/ToDo</t>
  </si>
  <si>
    <t>Substantive method (Text reader, Data-Sort, HSQL)</t>
  </si>
  <si>
    <t>Stakeholders+UserStories+ScrumRuns (RQE + Product BL, XLS-Data) Tool</t>
  </si>
  <si>
    <t>Team+ToDoList (Scrum, XLS-Data) Tool</t>
  </si>
  <si>
    <t>Pong Spiel to Agar.io (Animation, Listeners, Collisions, Frames, Panes, Controller, Geometrie)</t>
  </si>
  <si>
    <t>Existierende Applikationen Lernkartei und Editoren. Apps und nützliche Java-Projekte</t>
  </si>
  <si>
    <t>Coding/Persistenz</t>
  </si>
  <si>
    <t>Games/Animation</t>
  </si>
  <si>
    <t>Lernpsychologiie, Bewertung, Quiz</t>
  </si>
  <si>
    <t>Steakholderbefragung, User Stories, Konkurrenzanalyse</t>
  </si>
  <si>
    <t>Games/Animation+Editor</t>
  </si>
  <si>
    <t>Stakeholder Befragen, User Stories erstellen, Product Backlog, Git Hub</t>
  </si>
  <si>
    <t>Creative and Design, Data: Java Lernen, Java Lernkartei, Java Grundkurs, Paint-Programm, Editor Funktionen, Mustereditoren, Name, Lizenz, Impressum, Sync. Design</t>
  </si>
  <si>
    <t>Lernpsychologie, Fachwissen, Belohnung, Spielauswahl</t>
  </si>
  <si>
    <t>Supporting Tools, Schnittstellen, Wartung, …</t>
  </si>
  <si>
    <t>GUI, Views and Navigation, Konzept, Paint an David</t>
  </si>
  <si>
    <t>User (Typen), Gruppen, Profile, Klassendiagramme (Db und GUI Fenster), Plan vorhanden / Sustantiv methode, Panels mit Switcher, txt read and filter Nomen, Fixe Substantiv Liste, File Chooser, Vector statt String-Array</t>
  </si>
  <si>
    <t>Java Code, XML, DOM, Kartei, davon Klassendiagramm (Kontroller)</t>
  </si>
  <si>
    <t>SQL-Lite, Verknüpfen von Tabellen, Update, create , insert i.o., select to do</t>
  </si>
  <si>
    <t xml:space="preserve">Quizlet Schnittstelle mit Key, Datenstruktur, Klassen, Bilder, Erste Version Quitzlet on/off line </t>
  </si>
  <si>
    <t>Pong, J&amp;R, HighScore?</t>
  </si>
  <si>
    <t>CSV Reader, ToDo Liste, Editor, Karte, Klassendiagramm, Text2Speach, evtl. nur wenn online; Bewrtung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</si>
</sst>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/>
    <xf numFmtId="0" fontId="1" fillId="0" borderId="5" xfId="0" applyFont="1" applyBorder="1" applyAlignment="1">
      <alignment horizontal="center"/>
    </xf>
    <xf numFmtId="0" fontId="1" fillId="0" borderId="5" xfId="0" applyFont="1" applyBorder="1"/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3" xfId="0" applyFont="1" applyFill="1" applyBorder="1" applyAlignment="1">
      <alignment wrapText="1"/>
    </xf>
    <xf numFmtId="0" fontId="0" fillId="2" borderId="0" xfId="0" applyFill="1" applyBorder="1" applyAlignment="1">
      <alignment horizontal="left" vertical="center" wrapText="1"/>
    </xf>
    <xf numFmtId="0" fontId="5" fillId="2" borderId="1" xfId="0" applyFont="1" applyFill="1" applyBorder="1"/>
    <xf numFmtId="0" fontId="4" fillId="2" borderId="0" xfId="0" applyFont="1" applyFill="1" applyBorder="1"/>
    <xf numFmtId="0" fontId="4" fillId="2" borderId="2" xfId="0" applyFont="1" applyFill="1" applyBorder="1" applyAlignment="1">
      <alignment wrapText="1"/>
    </xf>
    <xf numFmtId="0" fontId="4" fillId="2" borderId="0" xfId="0" applyFont="1" applyFill="1" applyBorder="1" applyAlignment="1">
      <alignment horizontal="right" vertical="top"/>
    </xf>
    <xf numFmtId="0" fontId="4" fillId="2" borderId="2" xfId="0" applyFont="1" applyFill="1" applyBorder="1" applyAlignment="1">
      <alignment vertical="top" wrapText="1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6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Font="1" applyAlignment="1">
      <alignment vertical="center" wrapText="1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2" borderId="1" xfId="0" applyFont="1" applyFill="1" applyBorder="1" applyAlignment="1">
      <alignment horizontal="right" vertical="top"/>
    </xf>
    <xf numFmtId="0" fontId="4" fillId="2" borderId="0" xfId="0" applyFont="1" applyFill="1" applyBorder="1" applyAlignment="1">
      <alignment horizontal="right" vertical="top"/>
    </xf>
    <xf numFmtId="0" fontId="3" fillId="2" borderId="6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</xdr:row>
      <xdr:rowOff>0</xdr:rowOff>
    </xdr:from>
    <xdr:to>
      <xdr:col>6</xdr:col>
      <xdr:colOff>384213</xdr:colOff>
      <xdr:row>7</xdr:row>
      <xdr:rowOff>2383743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0" y="1339850"/>
          <a:ext cx="1908213" cy="23837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6</xdr:col>
      <xdr:colOff>381000</xdr:colOff>
      <xdr:row>4</xdr:row>
      <xdr:rowOff>2381250</xdr:rowOff>
    </xdr:to>
    <xdr:pic>
      <xdr:nvPicPr>
        <xdr:cNvPr id="5" name="Grafik 4" descr="http://bund2015.wiss-bern.ch/images/Portraits_250x200/Joel_Hberli.png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787400"/>
          <a:ext cx="1905000" cy="23812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6</xdr:col>
      <xdr:colOff>381000</xdr:colOff>
      <xdr:row>1</xdr:row>
      <xdr:rowOff>2381250</xdr:rowOff>
    </xdr:to>
    <xdr:pic>
      <xdr:nvPicPr>
        <xdr:cNvPr id="6" name="Grafik 5" descr="http://bund2015.wiss-bern.ch/images/Portraits_250x200/Miro_Albrecht.png"/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234950"/>
          <a:ext cx="1905000" cy="23812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6</xdr:col>
      <xdr:colOff>381000</xdr:colOff>
      <xdr:row>3</xdr:row>
      <xdr:rowOff>2381250</xdr:rowOff>
    </xdr:to>
    <xdr:pic>
      <xdr:nvPicPr>
        <xdr:cNvPr id="7" name="Grafik 6" descr="http://bund2015.wiss-bern.ch/images/Portraits_250x200/Nina_Egger.png"/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9857" y="4962071"/>
          <a:ext cx="1905000" cy="23812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12700</xdr:colOff>
      <xdr:row>6</xdr:row>
      <xdr:rowOff>44450</xdr:rowOff>
    </xdr:from>
    <xdr:to>
      <xdr:col>6</xdr:col>
      <xdr:colOff>374650</xdr:colOff>
      <xdr:row>6</xdr:row>
      <xdr:rowOff>2406650</xdr:rowOff>
    </xdr:to>
    <xdr:pic>
      <xdr:nvPicPr>
        <xdr:cNvPr id="8" name="Grafik 7" descr="http://bund2015.wiss-bern.ch/images/Portraits_250x200/Roger_Schneiter.png"/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1650" y="10452100"/>
          <a:ext cx="1885950" cy="2362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6</xdr:col>
      <xdr:colOff>381000</xdr:colOff>
      <xdr:row>5</xdr:row>
      <xdr:rowOff>2381250</xdr:rowOff>
    </xdr:to>
    <xdr:pic>
      <xdr:nvPicPr>
        <xdr:cNvPr id="10" name="Grafik 9" descr="http://bund2015.wiss-bern.ch/images/Portraits_250x200/Tim_Leibacher.png"/>
        <xdr:cNvPicPr/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7950200"/>
          <a:ext cx="1905000" cy="23812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6</xdr:col>
      <xdr:colOff>374650</xdr:colOff>
      <xdr:row>8</xdr:row>
      <xdr:rowOff>2374900</xdr:rowOff>
    </xdr:to>
    <xdr:pic>
      <xdr:nvPicPr>
        <xdr:cNvPr id="11" name="Grafik 10" descr="http://bund2015.wiss-bern.ch/images/Portraits_250x200/Yanis_Weibel.png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15252700"/>
          <a:ext cx="1898650" cy="2374900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4</xdr:col>
      <xdr:colOff>0</xdr:colOff>
      <xdr:row>2</xdr:row>
      <xdr:rowOff>0</xdr:rowOff>
    </xdr:from>
    <xdr:ext cx="1841400" cy="2159000"/>
    <xdr:pic>
      <xdr:nvPicPr>
        <xdr:cNvPr id="12" name="Graphics 2"/>
        <xdr:cNvPicPr>
          <a:picLocks noChangeAspect="1"/>
        </xdr:cNvPicPr>
      </xdr:nvPicPr>
      <xdr:blipFill>
        <a:blip xmlns:r="http://schemas.openxmlformats.org/officeDocument/2006/relationships" r:embed="rId8">
          <a:alphaModFix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96154"/>
                  </a14:imgEffect>
                  <a14:imgEffect>
                    <a14:saturation sat="66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>
        <a:xfrm>
          <a:off x="3028950" y="2692400"/>
          <a:ext cx="1841400" cy="2159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47"/>
  <sheetViews>
    <sheetView workbookViewId="0">
      <selection activeCell="B7" sqref="B7"/>
    </sheetView>
  </sheetViews>
  <sheetFormatPr baseColWidth="10" defaultRowHeight="14.5" x14ac:dyDescent="0.35"/>
  <cols>
    <col min="1" max="1" width="8.36328125" style="1" customWidth="1"/>
    <col min="2" max="2" width="6" style="1" customWidth="1"/>
    <col min="3" max="3" width="4.1796875" customWidth="1"/>
    <col min="4" max="4" width="4.54296875" customWidth="1"/>
    <col min="5" max="5" width="127" bestFit="1" customWidth="1"/>
    <col min="6" max="6" width="4.453125" customWidth="1"/>
  </cols>
  <sheetData>
    <row r="1" spans="1:7" ht="21" x14ac:dyDescent="0.5">
      <c r="A1" s="44" t="s">
        <v>91</v>
      </c>
      <c r="B1" s="44"/>
      <c r="C1" s="3" t="s">
        <v>2</v>
      </c>
    </row>
    <row r="2" spans="1:7" ht="21" x14ac:dyDescent="0.5">
      <c r="A2" s="39" t="s">
        <v>86</v>
      </c>
      <c r="B2" s="40" t="s">
        <v>9</v>
      </c>
      <c r="C2" s="40">
        <v>1</v>
      </c>
      <c r="D2" s="39"/>
      <c r="E2" s="39"/>
    </row>
    <row r="3" spans="1:7" x14ac:dyDescent="0.35">
      <c r="B3" s="37"/>
      <c r="C3" s="2"/>
    </row>
    <row r="4" spans="1:7" x14ac:dyDescent="0.35">
      <c r="A4" s="43" t="s">
        <v>92</v>
      </c>
      <c r="B4" s="43"/>
      <c r="C4" s="2">
        <f>SUM(B8:B47)/8</f>
        <v>0</v>
      </c>
      <c r="D4" t="s">
        <v>3</v>
      </c>
    </row>
    <row r="6" spans="1:7" ht="15.5" x14ac:dyDescent="0.35">
      <c r="A6" s="38" t="s">
        <v>90</v>
      </c>
    </row>
    <row r="7" spans="1:7" x14ac:dyDescent="0.35">
      <c r="A7" s="1" t="s">
        <v>87</v>
      </c>
      <c r="B7" s="37" t="s">
        <v>93</v>
      </c>
      <c r="C7" s="1" t="s">
        <v>10</v>
      </c>
      <c r="D7" s="1" t="s">
        <v>11</v>
      </c>
      <c r="E7" s="1" t="s">
        <v>88</v>
      </c>
      <c r="F7" s="43" t="s">
        <v>89</v>
      </c>
      <c r="G7" s="43"/>
    </row>
    <row r="8" spans="1:7" x14ac:dyDescent="0.35">
      <c r="A8" s="34">
        <v>1</v>
      </c>
      <c r="B8" s="34"/>
      <c r="C8" s="35" t="str">
        <f>IF($A8="","",VLOOKUP($A8,SortiesAndPBL!$A$6:$H$36,5))</f>
        <v>Q</v>
      </c>
      <c r="D8" s="35" t="str">
        <f>IF($A8="","",VLOOKUP($A8,SortiesAndPBL!$A$6:$H$36,6))</f>
        <v>M2</v>
      </c>
      <c r="E8" s="36" t="str">
        <f>IF($A8="","",VLOOKUP($A8,SortiesAndPBL!$A$6:$H$36,8))</f>
        <v>Als Java Coach, wünsche ich mir unbedingt eine für Java ideale Lernkartei (LK), damit die Lehrlinge möglichst viele Java Kenntnisse mitnehmen können.</v>
      </c>
      <c r="F8" s="6">
        <v>1</v>
      </c>
      <c r="G8" s="36" t="str">
        <f>IF($F8="","",VLOOKUP($F8,Team!$A$2:$D$12,3))</f>
        <v>Miro</v>
      </c>
    </row>
    <row r="9" spans="1:7" x14ac:dyDescent="0.35">
      <c r="A9" s="37"/>
      <c r="B9" s="37"/>
      <c r="C9" s="35" t="str">
        <f>IF($A9="","",VLOOKUP($A9,SortiesAndPBL!$A$6:$H$36,5))</f>
        <v/>
      </c>
      <c r="D9" s="35" t="str">
        <f>IF($A9="","",VLOOKUP($A9,SortiesAndPBL!$A$6:$H$36,6))</f>
        <v/>
      </c>
      <c r="E9" s="36" t="str">
        <f>IF($A9="","",VLOOKUP($A9,SortiesAndPBL!$A$6:$H$36,8))</f>
        <v/>
      </c>
      <c r="F9" s="6"/>
      <c r="G9" s="36" t="str">
        <f>IF($F9="","",VLOOKUP($F9,Team!$A$2:$D$12,3))</f>
        <v/>
      </c>
    </row>
    <row r="10" spans="1:7" x14ac:dyDescent="0.35">
      <c r="A10" s="37"/>
      <c r="B10" s="37"/>
      <c r="C10" s="35" t="str">
        <f>IF($A10="","",VLOOKUP($A10,SortiesAndPBL!$A$6:$H$36,5))</f>
        <v/>
      </c>
      <c r="D10" s="35" t="str">
        <f>IF($A10="","",VLOOKUP($A10,SortiesAndPBL!$A$6:$H$36,6))</f>
        <v/>
      </c>
      <c r="E10" s="36" t="str">
        <f>IF($A10="","",VLOOKUP($A10,SortiesAndPBL!$A$6:$H$36,8))</f>
        <v/>
      </c>
      <c r="F10" s="6"/>
      <c r="G10" s="36" t="str">
        <f>IF($F10="","",VLOOKUP($F10,Team!$A$2:$D$12,3))</f>
        <v/>
      </c>
    </row>
    <row r="11" spans="1:7" x14ac:dyDescent="0.35">
      <c r="A11" s="37"/>
      <c r="B11" s="37"/>
      <c r="C11" s="35" t="str">
        <f>IF($A11="","",VLOOKUP($A11,SortiesAndPBL!$A$6:$H$36,5))</f>
        <v/>
      </c>
      <c r="D11" s="35" t="str">
        <f>IF($A11="","",VLOOKUP($A11,SortiesAndPBL!$A$6:$H$36,6))</f>
        <v/>
      </c>
      <c r="E11" s="36" t="str">
        <f>IF($A11="","",VLOOKUP($A11,SortiesAndPBL!$A$6:$H$36,8))</f>
        <v/>
      </c>
      <c r="F11" s="6"/>
      <c r="G11" s="36" t="str">
        <f>IF($F11="","",VLOOKUP($F11,Team!$A$2:$D$12,3))</f>
        <v/>
      </c>
    </row>
    <row r="12" spans="1:7" x14ac:dyDescent="0.35">
      <c r="A12" s="37"/>
      <c r="B12" s="37"/>
      <c r="C12" s="35" t="str">
        <f>IF($A12="","",VLOOKUP($A12,SortiesAndPBL!$A$6:$H$36,5))</f>
        <v/>
      </c>
      <c r="D12" s="35" t="str">
        <f>IF($A12="","",VLOOKUP($A12,SortiesAndPBL!$A$6:$H$36,6))</f>
        <v/>
      </c>
      <c r="E12" s="36" t="str">
        <f>IF($A12="","",VLOOKUP($A12,SortiesAndPBL!$A$6:$H$36,8))</f>
        <v/>
      </c>
      <c r="F12" s="6"/>
      <c r="G12" s="36" t="str">
        <f>IF($F12="","",VLOOKUP($F12,Team!$A$2:$D$12,3))</f>
        <v/>
      </c>
    </row>
    <row r="13" spans="1:7" x14ac:dyDescent="0.35">
      <c r="A13" s="37"/>
      <c r="B13" s="37"/>
      <c r="C13" s="35" t="str">
        <f>IF($A13="","",VLOOKUP($A13,SortiesAndPBL!$A$6:$H$36,5))</f>
        <v/>
      </c>
      <c r="D13" s="35" t="str">
        <f>IF($A13="","",VLOOKUP($A13,SortiesAndPBL!$A$6:$H$36,6))</f>
        <v/>
      </c>
      <c r="E13" s="36" t="str">
        <f>IF($A13="","",VLOOKUP($A13,SortiesAndPBL!$A$6:$H$36,8))</f>
        <v/>
      </c>
      <c r="F13" s="6"/>
      <c r="G13" s="36" t="str">
        <f>IF($F13="","",VLOOKUP($F13,Team!$A$2:$D$12,3))</f>
        <v/>
      </c>
    </row>
    <row r="14" spans="1:7" x14ac:dyDescent="0.35">
      <c r="A14" s="37"/>
      <c r="B14" s="37"/>
      <c r="C14" s="35" t="str">
        <f>IF($A14="","",VLOOKUP($A14,SortiesAndPBL!$A$6:$H$36,5))</f>
        <v/>
      </c>
      <c r="D14" s="35" t="str">
        <f>IF($A14="","",VLOOKUP($A14,SortiesAndPBL!$A$6:$H$36,6))</f>
        <v/>
      </c>
      <c r="E14" s="36" t="str">
        <f>IF($A14="","",VLOOKUP($A14,SortiesAndPBL!$A$6:$H$36,8))</f>
        <v/>
      </c>
      <c r="F14" s="6"/>
      <c r="G14" s="36" t="str">
        <f>IF($F14="","",VLOOKUP($F14,Team!$A$2:$D$12,3))</f>
        <v/>
      </c>
    </row>
    <row r="15" spans="1:7" x14ac:dyDescent="0.35">
      <c r="A15" s="37"/>
      <c r="B15" s="37"/>
      <c r="C15" s="35" t="str">
        <f>IF($A15="","",VLOOKUP($A15,SortiesAndPBL!$A$6:$H$36,5))</f>
        <v/>
      </c>
      <c r="D15" s="35" t="str">
        <f>IF($A15="","",VLOOKUP($A15,SortiesAndPBL!$A$6:$H$36,6))</f>
        <v/>
      </c>
      <c r="E15" s="36" t="str">
        <f>IF($A15="","",VLOOKUP($A15,SortiesAndPBL!$A$6:$H$36,8))</f>
        <v/>
      </c>
      <c r="F15" s="6"/>
      <c r="G15" s="36" t="str">
        <f>IF($F15="","",VLOOKUP($F15,Team!$A$2:$D$12,3))</f>
        <v/>
      </c>
    </row>
    <row r="16" spans="1:7" x14ac:dyDescent="0.35">
      <c r="A16" s="34"/>
      <c r="B16" s="34"/>
      <c r="C16" s="35" t="str">
        <f>IF($A16="","",VLOOKUP($A16,SortiesAndPBL!$A$6:$H$36,5))</f>
        <v/>
      </c>
      <c r="D16" s="35" t="str">
        <f>IF($A16="","",VLOOKUP($A16,SortiesAndPBL!$A$6:$H$36,6))</f>
        <v/>
      </c>
      <c r="E16" s="36" t="str">
        <f>IF($A16="","",VLOOKUP($A16,SortiesAndPBL!$A$6:$H$36,8))</f>
        <v/>
      </c>
      <c r="F16" s="6"/>
      <c r="G16" s="36" t="str">
        <f>IF($F16="","",VLOOKUP($F16,Team!$A$2:$D$12,3))</f>
        <v/>
      </c>
    </row>
    <row r="17" spans="1:7" x14ac:dyDescent="0.35">
      <c r="A17" s="34"/>
      <c r="B17" s="34"/>
      <c r="C17" s="35" t="str">
        <f>IF($A17="","",VLOOKUP($A17,SortiesAndPBL!$A$6:$H$36,5))</f>
        <v/>
      </c>
      <c r="D17" s="35" t="str">
        <f>IF($A17="","",VLOOKUP($A17,SortiesAndPBL!$A$6:$H$36,6))</f>
        <v/>
      </c>
      <c r="E17" s="36" t="str">
        <f>IF($A17="","",VLOOKUP($A17,SortiesAndPBL!$A$6:$H$36,8))</f>
        <v/>
      </c>
      <c r="F17" s="6"/>
      <c r="G17" s="36" t="str">
        <f>IF($F17="","",VLOOKUP($F17,Team!$A$2:$D$12,3))</f>
        <v/>
      </c>
    </row>
    <row r="18" spans="1:7" x14ac:dyDescent="0.35">
      <c r="A18" s="34"/>
      <c r="B18" s="34"/>
      <c r="C18" s="35" t="str">
        <f>IF($A18="","",VLOOKUP($A18,SortiesAndPBL!$A$6:$H$36,5))</f>
        <v/>
      </c>
      <c r="D18" s="35" t="str">
        <f>IF($A18="","",VLOOKUP($A18,SortiesAndPBL!$A$6:$H$36,6))</f>
        <v/>
      </c>
      <c r="E18" s="36" t="str">
        <f>IF($A18="","",VLOOKUP($A18,SortiesAndPBL!$A$6:$H$36,8))</f>
        <v/>
      </c>
      <c r="F18" s="6"/>
      <c r="G18" s="36" t="str">
        <f>IF($F18="","",VLOOKUP($F18,Team!$A$2:$D$12,3))</f>
        <v/>
      </c>
    </row>
    <row r="19" spans="1:7" x14ac:dyDescent="0.35">
      <c r="A19" s="34"/>
      <c r="B19" s="34"/>
      <c r="C19" s="35" t="str">
        <f>IF($A19="","",VLOOKUP($A19,SortiesAndPBL!$A$6:$H$36,5))</f>
        <v/>
      </c>
      <c r="D19" s="35" t="str">
        <f>IF($A19="","",VLOOKUP($A19,SortiesAndPBL!$A$6:$H$36,6))</f>
        <v/>
      </c>
      <c r="E19" s="36" t="str">
        <f>IF($A19="","",VLOOKUP($A19,SortiesAndPBL!$A$6:$H$36,8))</f>
        <v/>
      </c>
      <c r="F19" s="6"/>
      <c r="G19" s="36" t="str">
        <f>IF($F19="","",VLOOKUP($F19,Team!$A$2:$D$12,3))</f>
        <v/>
      </c>
    </row>
    <row r="20" spans="1:7" x14ac:dyDescent="0.35">
      <c r="A20" s="34"/>
      <c r="B20" s="34"/>
      <c r="C20" s="35" t="str">
        <f>IF($A20="","",VLOOKUP($A20,SortiesAndPBL!$A$6:$H$36,5))</f>
        <v/>
      </c>
      <c r="D20" s="35" t="str">
        <f>IF($A20="","",VLOOKUP($A20,SortiesAndPBL!$A$6:$H$36,6))</f>
        <v/>
      </c>
      <c r="E20" s="36" t="str">
        <f>IF($A20="","",VLOOKUP($A20,SortiesAndPBL!$A$6:$H$36,8))</f>
        <v/>
      </c>
      <c r="F20" s="6"/>
      <c r="G20" s="36" t="str">
        <f>IF($F20="","",VLOOKUP($F20,Team!$A$2:$D$12,3))</f>
        <v/>
      </c>
    </row>
    <row r="21" spans="1:7" x14ac:dyDescent="0.35">
      <c r="A21" s="34"/>
      <c r="B21" s="34"/>
      <c r="C21" s="35" t="str">
        <f>IF($A21="","",VLOOKUP($A21,SortiesAndPBL!$A$6:$H$36,5))</f>
        <v/>
      </c>
      <c r="D21" s="35" t="str">
        <f>IF($A21="","",VLOOKUP($A21,SortiesAndPBL!$A$6:$H$36,6))</f>
        <v/>
      </c>
      <c r="E21" s="36" t="str">
        <f>IF($A21="","",VLOOKUP($A21,SortiesAndPBL!$A$6:$H$36,8))</f>
        <v/>
      </c>
      <c r="F21" s="6"/>
      <c r="G21" s="36" t="str">
        <f>IF($F21="","",VLOOKUP($F21,Team!$A$2:$D$12,3))</f>
        <v/>
      </c>
    </row>
    <row r="22" spans="1:7" x14ac:dyDescent="0.35">
      <c r="A22" s="34"/>
      <c r="B22" s="34"/>
      <c r="C22" s="35" t="str">
        <f>IF($A22="","",VLOOKUP($A22,SortiesAndPBL!$A$6:$H$36,5))</f>
        <v/>
      </c>
      <c r="D22" s="35" t="str">
        <f>IF($A22="","",VLOOKUP($A22,SortiesAndPBL!$A$6:$H$36,6))</f>
        <v/>
      </c>
      <c r="E22" s="36" t="str">
        <f>IF($A22="","",VLOOKUP($A22,SortiesAndPBL!$A$6:$H$36,8))</f>
        <v/>
      </c>
      <c r="F22" s="6"/>
      <c r="G22" s="36" t="str">
        <f>IF($F22="","",VLOOKUP($F22,Team!$A$2:$D$12,3))</f>
        <v/>
      </c>
    </row>
    <row r="23" spans="1:7" x14ac:dyDescent="0.35">
      <c r="A23" s="34"/>
      <c r="B23" s="34"/>
      <c r="C23" s="35" t="str">
        <f>IF($A23="","",VLOOKUP($A23,SortiesAndPBL!$A$6:$H$36,5))</f>
        <v/>
      </c>
      <c r="D23" s="35" t="str">
        <f>IF($A23="","",VLOOKUP($A23,SortiesAndPBL!$A$6:$H$36,6))</f>
        <v/>
      </c>
      <c r="E23" s="36" t="str">
        <f>IF($A23="","",VLOOKUP($A23,SortiesAndPBL!$A$6:$H$36,8))</f>
        <v/>
      </c>
      <c r="F23" s="6"/>
      <c r="G23" s="36" t="str">
        <f>IF($F23="","",VLOOKUP($F23,Team!$A$2:$D$12,3))</f>
        <v/>
      </c>
    </row>
    <row r="24" spans="1:7" x14ac:dyDescent="0.35">
      <c r="A24" s="37"/>
      <c r="B24" s="37"/>
      <c r="C24" s="35" t="str">
        <f>IF($A24="","",VLOOKUP($A24,SortiesAndPBL!$A$6:$H$36,5))</f>
        <v/>
      </c>
      <c r="D24" s="35" t="str">
        <f>IF($A24="","",VLOOKUP($A24,SortiesAndPBL!$A$6:$H$36,6))</f>
        <v/>
      </c>
      <c r="E24" s="36" t="str">
        <f>IF($A24="","",VLOOKUP($A24,SortiesAndPBL!$A$6:$H$36,8))</f>
        <v/>
      </c>
      <c r="F24" s="6"/>
      <c r="G24" s="36" t="str">
        <f>IF($F24="","",VLOOKUP($F24,Team!$A$2:$D$12,3))</f>
        <v/>
      </c>
    </row>
    <row r="25" spans="1:7" x14ac:dyDescent="0.35">
      <c r="A25" s="37"/>
      <c r="B25" s="37"/>
      <c r="C25" s="35" t="str">
        <f>IF($A25="","",VLOOKUP($A25,SortiesAndPBL!$A$6:$H$36,5))</f>
        <v/>
      </c>
      <c r="D25" s="35" t="str">
        <f>IF($A25="","",VLOOKUP($A25,SortiesAndPBL!$A$6:$H$36,6))</f>
        <v/>
      </c>
      <c r="E25" s="36" t="str">
        <f>IF($A25="","",VLOOKUP($A25,SortiesAndPBL!$A$6:$H$36,8))</f>
        <v/>
      </c>
      <c r="F25" s="6"/>
      <c r="G25" s="36" t="str">
        <f>IF($F25="","",VLOOKUP($F25,Team!$A$2:$D$12,3))</f>
        <v/>
      </c>
    </row>
    <row r="26" spans="1:7" x14ac:dyDescent="0.35">
      <c r="A26" s="37"/>
      <c r="B26" s="37"/>
      <c r="C26" s="35" t="str">
        <f>IF($A26="","",VLOOKUP($A26,SortiesAndPBL!$A$6:$H$36,5))</f>
        <v/>
      </c>
      <c r="D26" s="35" t="str">
        <f>IF($A26="","",VLOOKUP($A26,SortiesAndPBL!$A$6:$H$36,6))</f>
        <v/>
      </c>
      <c r="E26" s="36" t="str">
        <f>IF($A26="","",VLOOKUP($A26,SortiesAndPBL!$A$6:$H$36,8))</f>
        <v/>
      </c>
      <c r="F26" s="6"/>
      <c r="G26" s="36" t="str">
        <f>IF($F26="","",VLOOKUP($F26,Team!$A$2:$D$12,3))</f>
        <v/>
      </c>
    </row>
    <row r="27" spans="1:7" x14ac:dyDescent="0.35">
      <c r="A27" s="37"/>
      <c r="B27" s="37"/>
      <c r="C27" s="35" t="str">
        <f>IF($A27="","",VLOOKUP($A27,SortiesAndPBL!$A$6:$H$36,5))</f>
        <v/>
      </c>
      <c r="D27" s="35" t="str">
        <f>IF($A27="","",VLOOKUP($A27,SortiesAndPBL!$A$6:$H$36,6))</f>
        <v/>
      </c>
      <c r="E27" s="36" t="str">
        <f>IF($A27="","",VLOOKUP($A27,SortiesAndPBL!$A$6:$H$36,8))</f>
        <v/>
      </c>
      <c r="F27" s="6"/>
      <c r="G27" s="36" t="str">
        <f>IF($F27="","",VLOOKUP($F27,Team!$A$2:$D$12,3))</f>
        <v/>
      </c>
    </row>
    <row r="28" spans="1:7" x14ac:dyDescent="0.35">
      <c r="A28" s="37"/>
      <c r="B28" s="37"/>
      <c r="C28" s="35" t="str">
        <f>IF($A28="","",VLOOKUP($A28,SortiesAndPBL!$A$6:$H$36,5))</f>
        <v/>
      </c>
      <c r="D28" s="35" t="str">
        <f>IF($A28="","",VLOOKUP($A28,SortiesAndPBL!$A$6:$H$36,6))</f>
        <v/>
      </c>
      <c r="E28" s="36" t="str">
        <f>IF($A28="","",VLOOKUP($A28,SortiesAndPBL!$A$6:$H$36,8))</f>
        <v/>
      </c>
      <c r="F28" s="6"/>
      <c r="G28" s="36" t="str">
        <f>IF($F28="","",VLOOKUP($F28,Team!$A$2:$D$12,3))</f>
        <v/>
      </c>
    </row>
    <row r="29" spans="1:7" x14ac:dyDescent="0.35">
      <c r="A29" s="37"/>
      <c r="B29" s="37"/>
      <c r="C29" s="35" t="str">
        <f>IF($A29="","",VLOOKUP($A29,SortiesAndPBL!$A$6:$H$36,5))</f>
        <v/>
      </c>
      <c r="D29" s="35" t="str">
        <f>IF($A29="","",VLOOKUP($A29,SortiesAndPBL!$A$6:$H$36,6))</f>
        <v/>
      </c>
      <c r="E29" s="36" t="str">
        <f>IF($A29="","",VLOOKUP($A29,SortiesAndPBL!$A$6:$H$36,8))</f>
        <v/>
      </c>
      <c r="F29" s="6"/>
      <c r="G29" s="36" t="str">
        <f>IF($F29="","",VLOOKUP($F29,Team!$A$2:$D$12,3))</f>
        <v/>
      </c>
    </row>
    <row r="30" spans="1:7" x14ac:dyDescent="0.35">
      <c r="A30" s="37"/>
      <c r="B30" s="37"/>
      <c r="C30" s="35" t="str">
        <f>IF($A30="","",VLOOKUP($A30,SortiesAndPBL!$A$6:$H$36,5))</f>
        <v/>
      </c>
      <c r="D30" s="35" t="str">
        <f>IF($A30="","",VLOOKUP($A30,SortiesAndPBL!$A$6:$H$36,6))</f>
        <v/>
      </c>
      <c r="E30" s="36" t="str">
        <f>IF($A30="","",VLOOKUP($A30,SortiesAndPBL!$A$6:$H$36,8))</f>
        <v/>
      </c>
      <c r="F30" s="6"/>
      <c r="G30" s="36" t="str">
        <f>IF($F30="","",VLOOKUP($F30,Team!$A$2:$D$12,3))</f>
        <v/>
      </c>
    </row>
    <row r="31" spans="1:7" x14ac:dyDescent="0.35">
      <c r="A31" s="37"/>
      <c r="B31" s="37"/>
      <c r="C31" s="35" t="str">
        <f>IF($A31="","",VLOOKUP($A31,SortiesAndPBL!$A$6:$H$36,5))</f>
        <v/>
      </c>
      <c r="D31" s="35" t="str">
        <f>IF($A31="","",VLOOKUP($A31,SortiesAndPBL!$A$6:$H$36,6))</f>
        <v/>
      </c>
      <c r="E31" s="36" t="str">
        <f>IF($A31="","",VLOOKUP($A31,SortiesAndPBL!$A$6:$H$36,8))</f>
        <v/>
      </c>
      <c r="F31" s="6"/>
      <c r="G31" s="36" t="str">
        <f>IF($F31="","",VLOOKUP($F31,Team!$A$2:$D$12,3))</f>
        <v/>
      </c>
    </row>
    <row r="32" spans="1:7" x14ac:dyDescent="0.35">
      <c r="A32" s="37"/>
      <c r="B32" s="37"/>
      <c r="C32" s="35" t="str">
        <f>IF($A32="","",VLOOKUP($A32,SortiesAndPBL!$A$6:$H$36,5))</f>
        <v/>
      </c>
      <c r="D32" s="35" t="str">
        <f>IF($A32="","",VLOOKUP($A32,SortiesAndPBL!$A$6:$H$36,6))</f>
        <v/>
      </c>
      <c r="E32" s="36" t="str">
        <f>IF($A32="","",VLOOKUP($A32,SortiesAndPBL!$A$6:$H$36,8))</f>
        <v/>
      </c>
      <c r="F32" s="6"/>
      <c r="G32" s="36" t="str">
        <f>IF($F32="","",VLOOKUP($F32,Team!$A$2:$D$12,3))</f>
        <v/>
      </c>
    </row>
    <row r="33" spans="1:7" x14ac:dyDescent="0.35">
      <c r="A33" s="37"/>
      <c r="B33" s="37"/>
      <c r="C33" s="35" t="str">
        <f>IF($A33="","",VLOOKUP($A33,SortiesAndPBL!$A$6:$H$36,5))</f>
        <v/>
      </c>
      <c r="D33" s="35" t="str">
        <f>IF($A33="","",VLOOKUP($A33,SortiesAndPBL!$A$6:$H$36,6))</f>
        <v/>
      </c>
      <c r="E33" s="36" t="str">
        <f>IF($A33="","",VLOOKUP($A33,SortiesAndPBL!$A$6:$H$36,8))</f>
        <v/>
      </c>
      <c r="F33" s="6"/>
      <c r="G33" s="36" t="str">
        <f>IF($F33="","",VLOOKUP($F33,Team!$A$2:$D$12,3))</f>
        <v/>
      </c>
    </row>
    <row r="34" spans="1:7" x14ac:dyDescent="0.35">
      <c r="A34" s="37"/>
      <c r="B34" s="37"/>
      <c r="C34" s="35" t="str">
        <f>IF($A34="","",VLOOKUP($A34,SortiesAndPBL!$A$6:$H$36,5))</f>
        <v/>
      </c>
      <c r="D34" s="35" t="str">
        <f>IF($A34="","",VLOOKUP($A34,SortiesAndPBL!$A$6:$H$36,6))</f>
        <v/>
      </c>
      <c r="E34" s="36" t="str">
        <f>IF($A34="","",VLOOKUP($A34,SortiesAndPBL!$A$6:$H$36,8))</f>
        <v/>
      </c>
      <c r="F34" s="6"/>
      <c r="G34" s="36" t="str">
        <f>IF($F34="","",VLOOKUP($F34,Team!$A$2:$D$12,3))</f>
        <v/>
      </c>
    </row>
    <row r="35" spans="1:7" x14ac:dyDescent="0.35">
      <c r="A35" s="37"/>
      <c r="B35" s="37"/>
      <c r="C35" s="35" t="str">
        <f>IF($A35="","",VLOOKUP($A35,SortiesAndPBL!$A$6:$H$36,5))</f>
        <v/>
      </c>
      <c r="D35" s="35" t="str">
        <f>IF($A35="","",VLOOKUP($A35,SortiesAndPBL!$A$6:$H$36,6))</f>
        <v/>
      </c>
      <c r="E35" s="36" t="str">
        <f>IF($A35="","",VLOOKUP($A35,SortiesAndPBL!$A$6:$H$36,8))</f>
        <v/>
      </c>
      <c r="F35" s="6"/>
      <c r="G35" s="36" t="str">
        <f>IF($F35="","",VLOOKUP($F35,Team!$A$2:$D$12,3))</f>
        <v/>
      </c>
    </row>
    <row r="36" spans="1:7" x14ac:dyDescent="0.35">
      <c r="A36" s="37"/>
      <c r="B36" s="37"/>
      <c r="C36" s="35" t="str">
        <f>IF($A36="","",VLOOKUP($A36,SortiesAndPBL!$A$6:$H$36,5))</f>
        <v/>
      </c>
      <c r="D36" s="35" t="str">
        <f>IF($A36="","",VLOOKUP($A36,SortiesAndPBL!$A$6:$H$36,6))</f>
        <v/>
      </c>
      <c r="E36" s="36" t="str">
        <f>IF($A36="","",VLOOKUP($A36,SortiesAndPBL!$A$6:$H$36,8))</f>
        <v/>
      </c>
      <c r="F36" s="6"/>
      <c r="G36" s="36" t="str">
        <f>IF($F36="","",VLOOKUP($F36,Team!$A$2:$D$12,3))</f>
        <v/>
      </c>
    </row>
    <row r="37" spans="1:7" x14ac:dyDescent="0.35">
      <c r="A37" s="37"/>
      <c r="B37" s="37"/>
      <c r="C37" s="35" t="str">
        <f>IF($A37="","",VLOOKUP($A37,SortiesAndPBL!$A$6:$H$36,5))</f>
        <v/>
      </c>
      <c r="D37" s="35" t="str">
        <f>IF($A37="","",VLOOKUP($A37,SortiesAndPBL!$A$6:$H$36,6))</f>
        <v/>
      </c>
      <c r="E37" s="36" t="str">
        <f>IF($A37="","",VLOOKUP($A37,SortiesAndPBL!$A$6:$H$36,8))</f>
        <v/>
      </c>
      <c r="F37" s="6"/>
      <c r="G37" s="36" t="str">
        <f>IF($F37="","",VLOOKUP($F37,Team!$A$2:$D$12,3))</f>
        <v/>
      </c>
    </row>
    <row r="38" spans="1:7" x14ac:dyDescent="0.35">
      <c r="A38" s="37"/>
      <c r="B38" s="37"/>
      <c r="C38" s="35" t="str">
        <f>IF($A38="","",VLOOKUP($A38,SortiesAndPBL!$A$6:$H$36,5))</f>
        <v/>
      </c>
      <c r="D38" s="35" t="str">
        <f>IF($A38="","",VLOOKUP($A38,SortiesAndPBL!$A$6:$H$36,6))</f>
        <v/>
      </c>
      <c r="E38" s="36" t="str">
        <f>IF($A38="","",VLOOKUP($A38,SortiesAndPBL!$A$6:$H$36,8))</f>
        <v/>
      </c>
      <c r="F38" s="6"/>
      <c r="G38" s="36" t="str">
        <f>IF($F38="","",VLOOKUP($F38,Team!$A$2:$D$12,3))</f>
        <v/>
      </c>
    </row>
    <row r="39" spans="1:7" x14ac:dyDescent="0.35">
      <c r="A39" s="37"/>
      <c r="B39" s="37"/>
      <c r="C39" s="35" t="str">
        <f>IF($A39="","",VLOOKUP($A39,SortiesAndPBL!$A$6:$H$36,5))</f>
        <v/>
      </c>
      <c r="D39" s="35" t="str">
        <f>IF($A39="","",VLOOKUP($A39,SortiesAndPBL!$A$6:$H$36,6))</f>
        <v/>
      </c>
      <c r="E39" s="36" t="str">
        <f>IF($A39="","",VLOOKUP($A39,SortiesAndPBL!$A$6:$H$36,8))</f>
        <v/>
      </c>
      <c r="F39" s="6"/>
      <c r="G39" s="36" t="str">
        <f>IF($F39="","",VLOOKUP($F39,Team!$A$2:$D$12,3))</f>
        <v/>
      </c>
    </row>
    <row r="40" spans="1:7" x14ac:dyDescent="0.35">
      <c r="A40" s="37"/>
      <c r="B40" s="37"/>
      <c r="C40" s="35" t="str">
        <f>IF($A40="","",VLOOKUP($A40,SortiesAndPBL!$A$6:$H$36,5))</f>
        <v/>
      </c>
      <c r="D40" s="35" t="str">
        <f>IF($A40="","",VLOOKUP($A40,SortiesAndPBL!$A$6:$H$36,6))</f>
        <v/>
      </c>
      <c r="E40" s="36" t="str">
        <f>IF($A40="","",VLOOKUP($A40,SortiesAndPBL!$A$6:$H$36,8))</f>
        <v/>
      </c>
      <c r="F40" s="6"/>
      <c r="G40" s="36" t="str">
        <f>IF($F40="","",VLOOKUP($F40,Team!$A$2:$D$12,3))</f>
        <v/>
      </c>
    </row>
    <row r="41" spans="1:7" x14ac:dyDescent="0.35">
      <c r="A41" s="37"/>
      <c r="B41" s="37"/>
      <c r="C41" s="35" t="str">
        <f>IF($A41="","",VLOOKUP($A41,SortiesAndPBL!$A$6:$H$36,5))</f>
        <v/>
      </c>
      <c r="D41" s="35" t="str">
        <f>IF($A41="","",VLOOKUP($A41,SortiesAndPBL!$A$6:$H$36,6))</f>
        <v/>
      </c>
      <c r="E41" s="36" t="str">
        <f>IF($A41="","",VLOOKUP($A41,SortiesAndPBL!$A$6:$H$36,8))</f>
        <v/>
      </c>
      <c r="F41" s="6"/>
      <c r="G41" s="36" t="str">
        <f>IF($F41="","",VLOOKUP($F41,Team!$A$2:$D$12,3))</f>
        <v/>
      </c>
    </row>
    <row r="42" spans="1:7" x14ac:dyDescent="0.35">
      <c r="A42" s="37"/>
      <c r="B42" s="37"/>
      <c r="C42" s="35" t="str">
        <f>IF($A42="","",VLOOKUP($A42,SortiesAndPBL!$A$6:$H$36,5))</f>
        <v/>
      </c>
      <c r="D42" s="35" t="str">
        <f>IF($A42="","",VLOOKUP($A42,SortiesAndPBL!$A$6:$H$36,6))</f>
        <v/>
      </c>
      <c r="E42" s="36" t="str">
        <f>IF($A42="","",VLOOKUP($A42,SortiesAndPBL!$A$6:$H$36,8))</f>
        <v/>
      </c>
      <c r="F42" s="6"/>
      <c r="G42" s="36" t="str">
        <f>IF($F42="","",VLOOKUP($F42,Team!$A$2:$D$12,3))</f>
        <v/>
      </c>
    </row>
    <row r="43" spans="1:7" x14ac:dyDescent="0.35">
      <c r="A43" s="37"/>
      <c r="B43" s="37"/>
      <c r="C43" s="35" t="str">
        <f>IF($A43="","",VLOOKUP($A43,SortiesAndPBL!$A$6:$H$36,5))</f>
        <v/>
      </c>
      <c r="D43" s="35" t="str">
        <f>IF($A43="","",VLOOKUP($A43,SortiesAndPBL!$A$6:$H$36,6))</f>
        <v/>
      </c>
      <c r="E43" s="36" t="str">
        <f>IF($A43="","",VLOOKUP($A43,SortiesAndPBL!$A$6:$H$36,8))</f>
        <v/>
      </c>
      <c r="F43" s="6"/>
      <c r="G43" s="36" t="str">
        <f>IF($F43="","",VLOOKUP($F43,Team!$A$2:$D$12,3))</f>
        <v/>
      </c>
    </row>
    <row r="44" spans="1:7" x14ac:dyDescent="0.35">
      <c r="A44" s="37"/>
      <c r="B44" s="37"/>
      <c r="C44" s="35" t="str">
        <f>IF($A44="","",VLOOKUP($A44,SortiesAndPBL!$A$6:$H$36,5))</f>
        <v/>
      </c>
      <c r="D44" s="35" t="str">
        <f>IF($A44="","",VLOOKUP($A44,SortiesAndPBL!$A$6:$H$36,6))</f>
        <v/>
      </c>
      <c r="E44" s="36" t="str">
        <f>IF($A44="","",VLOOKUP($A44,SortiesAndPBL!$A$6:$H$36,8))</f>
        <v/>
      </c>
      <c r="F44" s="6"/>
      <c r="G44" s="36" t="str">
        <f>IF($F44="","",VLOOKUP($F44,Team!$A$2:$D$12,3))</f>
        <v/>
      </c>
    </row>
    <row r="45" spans="1:7" x14ac:dyDescent="0.35">
      <c r="A45" s="37"/>
      <c r="B45" s="37"/>
      <c r="C45" s="35" t="str">
        <f>IF($A45="","",VLOOKUP($A45,SortiesAndPBL!$A$6:$H$36,5))</f>
        <v/>
      </c>
      <c r="D45" s="35" t="str">
        <f>IF($A45="","",VLOOKUP($A45,SortiesAndPBL!$A$6:$H$36,6))</f>
        <v/>
      </c>
      <c r="E45" s="36" t="str">
        <f>IF($A45="","",VLOOKUP($A45,SortiesAndPBL!$A$6:$H$36,8))</f>
        <v/>
      </c>
      <c r="F45" s="6"/>
      <c r="G45" s="36" t="str">
        <f>IF($F45="","",VLOOKUP($F45,Team!$A$2:$D$12,3))</f>
        <v/>
      </c>
    </row>
    <row r="46" spans="1:7" x14ac:dyDescent="0.35">
      <c r="A46" s="37"/>
      <c r="B46" s="37"/>
      <c r="C46" s="35" t="str">
        <f>IF($A46="","",VLOOKUP($A46,SortiesAndPBL!$A$6:$H$36,5))</f>
        <v/>
      </c>
      <c r="D46" s="35" t="str">
        <f>IF($A46="","",VLOOKUP($A46,SortiesAndPBL!$A$6:$H$36,6))</f>
        <v/>
      </c>
      <c r="E46" s="36" t="str">
        <f>IF($A46="","",VLOOKUP($A46,SortiesAndPBL!$A$6:$H$36,8))</f>
        <v/>
      </c>
      <c r="F46" s="6"/>
      <c r="G46" s="36" t="str">
        <f>IF($F46="","",VLOOKUP($F46,Team!$A$2:$D$12,3))</f>
        <v/>
      </c>
    </row>
    <row r="47" spans="1:7" x14ac:dyDescent="0.35">
      <c r="A47" s="37"/>
      <c r="B47" s="37"/>
      <c r="C47" s="35" t="str">
        <f>IF($A47="","",VLOOKUP($A47,SortiesAndPBL!$A$6:$H$36,5))</f>
        <v/>
      </c>
      <c r="D47" s="35" t="str">
        <f>IF($A47="","",VLOOKUP($A47,SortiesAndPBL!$A$6:$H$36,6))</f>
        <v/>
      </c>
      <c r="E47" s="36" t="str">
        <f>IF($A47="","",VLOOKUP($A47,SortiesAndPBL!$A$6:$H$36,8))</f>
        <v/>
      </c>
      <c r="F47" s="6"/>
      <c r="G47" s="36" t="str">
        <f>IF($F47="","",VLOOKUP($F47,Team!$A$2:$D$12,3))</f>
        <v/>
      </c>
    </row>
  </sheetData>
  <mergeCells count="3">
    <mergeCell ref="F7:G7"/>
    <mergeCell ref="A1:B1"/>
    <mergeCell ref="A4:B4"/>
  </mergeCells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99"/>
  <sheetViews>
    <sheetView topLeftCell="D4" workbookViewId="0">
      <selection activeCell="H6" sqref="H6"/>
    </sheetView>
  </sheetViews>
  <sheetFormatPr baseColWidth="10" defaultColWidth="8.7265625" defaultRowHeight="14.5" x14ac:dyDescent="0.35"/>
  <cols>
    <col min="1" max="1" width="3.36328125" style="6" bestFit="1" customWidth="1"/>
    <col min="2" max="2" width="4.90625" style="6" bestFit="1" customWidth="1"/>
    <col min="3" max="3" width="58.6328125" customWidth="1"/>
    <col min="4" max="4" width="54.08984375" customWidth="1"/>
    <col min="5" max="5" width="3.90625" bestFit="1" customWidth="1"/>
    <col min="6" max="6" width="4.453125" customWidth="1"/>
    <col min="7" max="7" width="1.08984375" customWidth="1"/>
    <col min="8" max="8" width="102.26953125" style="5" customWidth="1"/>
    <col min="9" max="9" width="3.90625" bestFit="1" customWidth="1"/>
    <col min="10" max="10" width="4.6328125" bestFit="1" customWidth="1"/>
  </cols>
  <sheetData>
    <row r="1" spans="1:9" ht="21" x14ac:dyDescent="0.5">
      <c r="A1" s="44" t="s">
        <v>20</v>
      </c>
      <c r="B1" s="44"/>
      <c r="C1" s="44"/>
      <c r="D1" s="44"/>
      <c r="E1" s="47" t="s">
        <v>78</v>
      </c>
      <c r="F1" s="48"/>
      <c r="G1" s="48"/>
      <c r="H1" s="49"/>
    </row>
    <row r="2" spans="1:9" x14ac:dyDescent="0.35">
      <c r="E2" s="25" t="s">
        <v>15</v>
      </c>
      <c r="F2" s="26"/>
      <c r="G2" s="26"/>
      <c r="H2" s="27"/>
      <c r="I2" s="7"/>
    </row>
    <row r="3" spans="1:9" x14ac:dyDescent="0.35">
      <c r="E3" s="45" t="s">
        <v>12</v>
      </c>
      <c r="F3" s="46"/>
      <c r="G3" s="28"/>
      <c r="H3" s="29" t="s">
        <v>24</v>
      </c>
      <c r="I3" s="7"/>
    </row>
    <row r="4" spans="1:9" x14ac:dyDescent="0.35">
      <c r="E4" s="45" t="s">
        <v>13</v>
      </c>
      <c r="F4" s="46"/>
      <c r="G4" s="28"/>
      <c r="H4" s="29" t="s">
        <v>14</v>
      </c>
      <c r="I4" s="7"/>
    </row>
    <row r="5" spans="1:9" s="1" customFormat="1" x14ac:dyDescent="0.35">
      <c r="A5" s="14" t="s">
        <v>9</v>
      </c>
      <c r="B5" s="14" t="s">
        <v>6</v>
      </c>
      <c r="C5" s="15" t="s">
        <v>7</v>
      </c>
      <c r="D5" s="15" t="s">
        <v>54</v>
      </c>
      <c r="E5" s="30" t="s">
        <v>10</v>
      </c>
      <c r="F5" s="31" t="s">
        <v>11</v>
      </c>
      <c r="G5" s="31"/>
      <c r="H5" s="23" t="s">
        <v>79</v>
      </c>
    </row>
    <row r="6" spans="1:9" s="9" customFormat="1" ht="29" x14ac:dyDescent="0.35">
      <c r="A6" s="8">
        <v>1</v>
      </c>
      <c r="B6" s="8">
        <v>5</v>
      </c>
      <c r="C6" s="33" t="s">
        <v>21</v>
      </c>
      <c r="D6" s="33" t="s">
        <v>19</v>
      </c>
      <c r="E6" s="16" t="s">
        <v>16</v>
      </c>
      <c r="F6" s="17" t="s">
        <v>17</v>
      </c>
      <c r="G6" s="18"/>
      <c r="H6" s="24" t="str">
        <f>IF(B6="","","Als "&amp;VLOOKUP(B6,Stakeholders!$A$3:$B$25,2)&amp;", wünsche ich mir"&amp;IF(LEFT(F6,1)="M"," unbedingt "," ")&amp;C6&amp;IF(D6="",".",", damit "&amp;D6&amp;"."))</f>
        <v>Als Java Coach, wünsche ich mir unbedingt eine für Java ideale Lernkartei (LK), damit die Lehrlinge möglichst viele Java Kenntnisse mitnehmen können.</v>
      </c>
      <c r="I6" s="12"/>
    </row>
    <row r="7" spans="1:9" x14ac:dyDescent="0.35">
      <c r="A7" s="8">
        <f>IF(C7="","",A6+1)</f>
        <v>2</v>
      </c>
      <c r="B7" s="8">
        <v>6</v>
      </c>
      <c r="C7" s="33" t="s">
        <v>22</v>
      </c>
      <c r="D7" s="33" t="s">
        <v>23</v>
      </c>
      <c r="E7" s="10" t="s">
        <v>16</v>
      </c>
      <c r="F7" s="19" t="s">
        <v>17</v>
      </c>
      <c r="G7" s="11"/>
      <c r="H7" s="24" t="str">
        <f>IF(B7="","","Als "&amp;VLOOKUP(B7,Stakeholders!$A$3:$B$25,2)&amp;", wünsche ich mir"&amp;IF(LEFT(F7,1)="M"," unbedingt "," ")&amp;C7&amp;IF(D7="",".",", damit "&amp;D7&amp;"."))</f>
        <v>Als Entwickler, wünsche ich mir unbedingt eine lern-motivierende LK, damit ich möglichst oft damit lerne.</v>
      </c>
      <c r="I7" s="13"/>
    </row>
    <row r="8" spans="1:9" ht="29" x14ac:dyDescent="0.35">
      <c r="A8" s="8">
        <f t="shared" ref="A8:A36" si="0">IF(C8="","",A7+1)</f>
        <v>3</v>
      </c>
      <c r="B8" s="8">
        <v>5</v>
      </c>
      <c r="C8" s="33" t="s">
        <v>25</v>
      </c>
      <c r="D8" s="33" t="s">
        <v>26</v>
      </c>
      <c r="E8" s="10" t="s">
        <v>16</v>
      </c>
      <c r="F8" s="19" t="s">
        <v>27</v>
      </c>
      <c r="G8" s="11"/>
      <c r="H8" s="24" t="str">
        <f>IF(B8="","","Als "&amp;VLOOKUP(B8,Stakeholders!$A$3:$B$25,2)&amp;", wünsche ich mir"&amp;IF(LEFT(F8,1)="M"," unbedingt "," ")&amp;C8&amp;IF(D8="",".",", damit "&amp;D8&amp;"."))</f>
        <v>Als Java Coach, wünsche ich mir unbedingt eine Multimedia fähige LK, damit die Lerninhalte modern, flexibel und motivierend werden.</v>
      </c>
      <c r="I8" s="13"/>
    </row>
    <row r="9" spans="1:9" ht="29" x14ac:dyDescent="0.35">
      <c r="A9" s="8">
        <f t="shared" si="0"/>
        <v>4</v>
      </c>
      <c r="B9" s="8">
        <v>5</v>
      </c>
      <c r="C9" s="33" t="s">
        <v>31</v>
      </c>
      <c r="D9" s="33" t="s">
        <v>32</v>
      </c>
      <c r="E9" s="10" t="s">
        <v>33</v>
      </c>
      <c r="F9" s="19" t="s">
        <v>27</v>
      </c>
      <c r="G9" s="11"/>
      <c r="H9" s="24" t="str">
        <f>IF(B9="","","Als "&amp;VLOOKUP(B9,Stakeholders!$A$3:$B$25,2)&amp;", wünsche ich mir"&amp;IF(LEFT(F9,1)="M"," unbedingt "," ")&amp;C9&amp;IF(D9="",".",", damit "&amp;D9&amp;"."))</f>
        <v>Als Java Coach, wünsche ich mir unbedingt eine LK auf dem neuesten lernpsychologischen Stand, damit der Lerneffekt maximiert werden kann.</v>
      </c>
      <c r="I9" s="13"/>
    </row>
    <row r="10" spans="1:9" ht="29" x14ac:dyDescent="0.35">
      <c r="A10" s="8">
        <f t="shared" si="0"/>
        <v>5</v>
      </c>
      <c r="B10" s="8">
        <v>5</v>
      </c>
      <c r="C10" s="33" t="s">
        <v>34</v>
      </c>
      <c r="D10" s="33" t="s">
        <v>35</v>
      </c>
      <c r="E10" s="10" t="s">
        <v>33</v>
      </c>
      <c r="F10" s="19" t="s">
        <v>17</v>
      </c>
      <c r="G10" s="11"/>
      <c r="H10" s="24" t="str">
        <f>IF(B10="","","Als "&amp;VLOOKUP(B10,Stakeholders!$A$3:$B$25,2)&amp;", wünsche ich mir"&amp;IF(LEFT(F10,1)="M"," unbedingt "," ")&amp;C10&amp;IF(D10="",".",", damit "&amp;D10&amp;"."))</f>
        <v>Als Java Coach, wünsche ich mir unbedingt eine Lernpunktevergabe, damit diese als zusätzliche Motivation zum Bsp. in einem Spiel ausgegeben werden können.</v>
      </c>
      <c r="I10" s="13"/>
    </row>
    <row r="11" spans="1:9" ht="29" x14ac:dyDescent="0.35">
      <c r="A11" s="8">
        <f t="shared" si="0"/>
        <v>6</v>
      </c>
      <c r="B11" s="8">
        <v>5</v>
      </c>
      <c r="C11" s="33" t="s">
        <v>36</v>
      </c>
      <c r="D11" s="33" t="s">
        <v>37</v>
      </c>
      <c r="E11" s="10" t="s">
        <v>33</v>
      </c>
      <c r="F11" s="19" t="s">
        <v>27</v>
      </c>
      <c r="G11" s="11"/>
      <c r="H11" s="24" t="str">
        <f>IF(B11="","","Als "&amp;VLOOKUP(B11,Stakeholders!$A$3:$B$25,2)&amp;", wünsche ich mir"&amp;IF(LEFT(F11,1)="M"," unbedingt "," ")&amp;C11&amp;IF(D11="",".",", damit "&amp;D11&amp;"."))</f>
        <v>Als Java Coach, wünsche ich mir unbedingt der Lernerfolg gemessen und sichtbar gemacht wird, damit der sichtbare Lernerfolg den Lernenden zusätzlich motiviert.</v>
      </c>
      <c r="I11" s="13"/>
    </row>
    <row r="12" spans="1:9" ht="29" x14ac:dyDescent="0.35">
      <c r="A12" s="8">
        <f t="shared" si="0"/>
        <v>7</v>
      </c>
      <c r="B12" s="8">
        <v>5</v>
      </c>
      <c r="C12" s="33" t="s">
        <v>38</v>
      </c>
      <c r="D12" s="33" t="s">
        <v>39</v>
      </c>
      <c r="E12" s="10" t="s">
        <v>16</v>
      </c>
      <c r="F12" s="19" t="s">
        <v>27</v>
      </c>
      <c r="G12" s="11"/>
      <c r="H12" s="24" t="str">
        <f>IF(B12="","","Als "&amp;VLOOKUP(B12,Stakeholders!$A$3:$B$25,2)&amp;", wünsche ich mir"&amp;IF(LEFT(F12,1)="M"," unbedingt "," ")&amp;C12&amp;IF(D12="",".",", damit "&amp;D12&amp;"."))</f>
        <v>Als Java Coach, wünsche ich mir unbedingt die Wissenseingabe auch mutimedial einfach ist, damit damit diese zur Eingabe von möglichst viel und abwechslungsreichem Wissen führt.</v>
      </c>
      <c r="I12" s="13"/>
    </row>
    <row r="13" spans="1:9" ht="29" x14ac:dyDescent="0.35">
      <c r="A13" s="8">
        <f t="shared" si="0"/>
        <v>8</v>
      </c>
      <c r="B13" s="8">
        <v>5</v>
      </c>
      <c r="C13" s="33" t="s">
        <v>40</v>
      </c>
      <c r="D13" s="33" t="s">
        <v>41</v>
      </c>
      <c r="E13" s="10" t="s">
        <v>33</v>
      </c>
      <c r="F13" s="19" t="s">
        <v>17</v>
      </c>
      <c r="G13" s="11"/>
      <c r="H13" s="24" t="str">
        <f>IF(B13="","","Als "&amp;VLOOKUP(B13,Stakeholders!$A$3:$B$25,2)&amp;", wünsche ich mir"&amp;IF(LEFT(F13,1)="M"," unbedingt "," ")&amp;C13&amp;IF(D13="",".",", damit "&amp;D13&amp;"."))</f>
        <v>Als Java Coach, wünsche ich mir unbedingt alle Multimedialen Möglichkeiten genutzt werden (Audio, Video etc.), damit damit auch eine maximale Flexibilität entsteht.</v>
      </c>
      <c r="I13" s="13"/>
    </row>
    <row r="14" spans="1:9" ht="29" x14ac:dyDescent="0.35">
      <c r="A14" s="8">
        <f t="shared" si="0"/>
        <v>9</v>
      </c>
      <c r="B14" s="8">
        <v>2</v>
      </c>
      <c r="C14" s="33" t="s">
        <v>46</v>
      </c>
      <c r="D14" s="33" t="s">
        <v>43</v>
      </c>
      <c r="E14" s="10" t="s">
        <v>33</v>
      </c>
      <c r="F14" s="19" t="s">
        <v>17</v>
      </c>
      <c r="G14" s="11"/>
      <c r="H14" s="24" t="str">
        <f>IF(B14="","","Als "&amp;VLOOKUP(B14,Stakeholders!$A$3:$B$25,2)&amp;", wünsche ich mir"&amp;IF(LEFT(F14,1)="M"," unbedingt "," ")&amp;C14&amp;IF(D14="",".",", damit "&amp;D14&amp;"."))</f>
        <v>Als Dozent der WISS, wünsche ich mir unbedingt die Kartei an andere Lernende verteilt werden kann und von anderen erhalten werden kann, damit damit Arbeitsteilung möglich wird.</v>
      </c>
      <c r="I14" s="13"/>
    </row>
    <row r="15" spans="1:9" ht="29" x14ac:dyDescent="0.35">
      <c r="A15" s="8">
        <f t="shared" si="0"/>
        <v>10</v>
      </c>
      <c r="B15" s="8">
        <v>2</v>
      </c>
      <c r="C15" s="33" t="s">
        <v>42</v>
      </c>
      <c r="D15" s="33" t="s">
        <v>44</v>
      </c>
      <c r="E15" s="10" t="s">
        <v>16</v>
      </c>
      <c r="F15" s="19" t="s">
        <v>45</v>
      </c>
      <c r="G15" s="11"/>
      <c r="H15" s="24" t="str">
        <f>IF(B15="","","Als "&amp;VLOOKUP(B15,Stakeholders!$A$3:$B$25,2)&amp;", wünsche ich mir"&amp;IF(LEFT(F15,1)="M"," unbedingt "," ")&amp;C15&amp;IF(D15="",".",", damit "&amp;D15&amp;"."))</f>
        <v>Als Dozent der WISS, wünsche ich mir in einem Lernpool zusammengeführt und verwaltet werden kann, damit damit mehrere Lernende die gleiche LK bearbeiten können.</v>
      </c>
      <c r="I15" s="13"/>
    </row>
    <row r="16" spans="1:9" ht="29" x14ac:dyDescent="0.35">
      <c r="A16" s="8">
        <f t="shared" si="0"/>
        <v>11</v>
      </c>
      <c r="B16" s="8">
        <v>2</v>
      </c>
      <c r="C16" s="33" t="s">
        <v>47</v>
      </c>
      <c r="D16" s="33" t="s">
        <v>48</v>
      </c>
      <c r="E16" s="10" t="s">
        <v>33</v>
      </c>
      <c r="F16" s="19" t="s">
        <v>17</v>
      </c>
      <c r="G16" s="11"/>
      <c r="H16" s="24" t="str">
        <f>IF(B16="","","Als "&amp;VLOOKUP(B16,Stakeholders!$A$3:$B$25,2)&amp;", wünsche ich mir"&amp;IF(LEFT(F16,1)="M"," unbedingt "," ")&amp;C16&amp;IF(D16="",".",", damit "&amp;D16&amp;"."))</f>
        <v>Als Dozent der WISS, wünsche ich mir unbedingt zwei Lernkarteien zusammengeführt werden können, damit damit Arbeitsteilung und parallele Bearbeitungen möglich werden.</v>
      </c>
      <c r="I16" s="13"/>
    </row>
    <row r="17" spans="1:9" ht="29" x14ac:dyDescent="0.35">
      <c r="A17" s="8">
        <f t="shared" si="0"/>
        <v>12</v>
      </c>
      <c r="B17" s="8">
        <v>5</v>
      </c>
      <c r="C17" s="33" t="s">
        <v>49</v>
      </c>
      <c r="D17" s="33" t="s">
        <v>50</v>
      </c>
      <c r="E17" s="10" t="s">
        <v>16</v>
      </c>
      <c r="F17" s="19" t="s">
        <v>27</v>
      </c>
      <c r="G17" s="11"/>
      <c r="H17" s="24" t="str">
        <f>IF(B17="","","Als "&amp;VLOOKUP(B17,Stakeholders!$A$3:$B$25,2)&amp;", wünsche ich mir"&amp;IF(LEFT(F17,1)="M"," unbedingt "," ")&amp;C17&amp;IF(D17="",".",", damit "&amp;D17&amp;"."))</f>
        <v>Als Java Coach, wünsche ich mir unbedingt die LK auf Smartphones portiert werden können, damit damit man auch via Handy lernen kann.</v>
      </c>
      <c r="I17" s="13"/>
    </row>
    <row r="18" spans="1:9" ht="29" x14ac:dyDescent="0.35">
      <c r="A18" s="8">
        <f t="shared" si="0"/>
        <v>13</v>
      </c>
      <c r="B18" s="8">
        <v>5</v>
      </c>
      <c r="C18" s="33" t="s">
        <v>51</v>
      </c>
      <c r="D18" s="33" t="s">
        <v>52</v>
      </c>
      <c r="E18" s="10" t="s">
        <v>33</v>
      </c>
      <c r="F18" s="19" t="s">
        <v>53</v>
      </c>
      <c r="G18" s="11"/>
      <c r="H18" s="24" t="str">
        <f>IF(B18="","","Als "&amp;VLOOKUP(B18,Stakeholders!$A$3:$B$25,2)&amp;", wünsche ich mir"&amp;IF(LEFT(F18,1)="M"," unbedingt "," ")&amp;C18&amp;IF(D18="",".",", damit "&amp;D18&amp;"."))</f>
        <v>Als Java Coach, wünsche ich mir die Eingabe von Wissen auch per Smartphone erfolgen kann, damit damit man Wissen auch per Handy zur Verfügung stellen kann.</v>
      </c>
      <c r="I18" s="13"/>
    </row>
    <row r="19" spans="1:9" ht="29" x14ac:dyDescent="0.35">
      <c r="A19" s="8">
        <f t="shared" si="0"/>
        <v>14</v>
      </c>
      <c r="B19" s="8">
        <v>2</v>
      </c>
      <c r="C19" s="33" t="s">
        <v>80</v>
      </c>
      <c r="D19" s="33" t="s">
        <v>81</v>
      </c>
      <c r="E19" s="10" t="s">
        <v>33</v>
      </c>
      <c r="F19" s="19" t="s">
        <v>17</v>
      </c>
      <c r="G19" s="11"/>
      <c r="H19" s="24" t="str">
        <f>IF(B19="","","Als "&amp;VLOOKUP(B19,Stakeholders!$A$3:$B$25,2)&amp;", wünsche ich mir"&amp;IF(LEFT(F19,1)="M"," unbedingt "," ")&amp;C19&amp;IF(D19="",".",", damit "&amp;D19&amp;"."))</f>
        <v>Als Dozent der WISS, wünsche ich mir unbedingt auch Verständnisfragen gestellt werden können, damit damit die zweite Taxonomiestufe abgefragt werden kann.</v>
      </c>
      <c r="I19" s="13"/>
    </row>
    <row r="20" spans="1:9" ht="29" x14ac:dyDescent="0.35">
      <c r="A20" s="8">
        <f t="shared" si="0"/>
        <v>15</v>
      </c>
      <c r="B20" s="8">
        <v>2</v>
      </c>
      <c r="C20" s="33" t="s">
        <v>82</v>
      </c>
      <c r="D20" s="33" t="s">
        <v>83</v>
      </c>
      <c r="E20" s="10" t="s">
        <v>33</v>
      </c>
      <c r="F20" s="19" t="s">
        <v>84</v>
      </c>
      <c r="G20" s="11"/>
      <c r="H20" s="24" t="str">
        <f>IF(B20="","","Als "&amp;VLOOKUP(B20,Stakeholders!$A$3:$B$25,2)&amp;", wünsche ich mir"&amp;IF(LEFT(F20,1)="M"," unbedingt "," ")&amp;C20&amp;IF(D20="",".",", damit "&amp;D20&amp;"."))</f>
        <v>Als Dozent der WISS, wünsche ich mir unbedingt auch Anwendungsprobleme gestellt werden können, damit damit die dritte Taxonomiestufe abgefragt werdeb kann.</v>
      </c>
      <c r="I20" s="13"/>
    </row>
    <row r="21" spans="1:9" x14ac:dyDescent="0.35">
      <c r="A21" s="8" t="str">
        <f t="shared" si="0"/>
        <v/>
      </c>
      <c r="B21" s="8"/>
      <c r="C21" s="33"/>
      <c r="D21" s="33"/>
      <c r="E21" s="10"/>
      <c r="F21" s="19"/>
      <c r="G21" s="11"/>
      <c r="H21" s="24" t="str">
        <f>IF(B21="","","Als "&amp;VLOOKUP(B21,Stakeholders!$A$3:$B$25,2)&amp;", wünsche ich mir"&amp;IF(LEFT(F21,1)="M"," unbedingt "," ")&amp;C21&amp;IF(D21="",".",", damit "&amp;D21&amp;"."))</f>
        <v/>
      </c>
      <c r="I21" s="13"/>
    </row>
    <row r="22" spans="1:9" x14ac:dyDescent="0.35">
      <c r="A22" s="8" t="str">
        <f t="shared" si="0"/>
        <v/>
      </c>
      <c r="B22" s="8"/>
      <c r="C22" s="33"/>
      <c r="D22" s="33"/>
      <c r="E22" s="10"/>
      <c r="F22" s="19"/>
      <c r="G22" s="11"/>
      <c r="H22" s="24" t="str">
        <f>IF(B22="","","Als "&amp;VLOOKUP(B22,Stakeholders!$A$3:$B$25,2)&amp;", wünsche ich mir"&amp;IF(LEFT(F22,1)="M"," unbedingt "," ")&amp;C22&amp;IF(D22="",".",", damit "&amp;D22&amp;"."))</f>
        <v/>
      </c>
      <c r="I22" s="13"/>
    </row>
    <row r="23" spans="1:9" x14ac:dyDescent="0.35">
      <c r="A23" s="8" t="str">
        <f t="shared" si="0"/>
        <v/>
      </c>
      <c r="B23" s="8"/>
      <c r="C23" s="33"/>
      <c r="D23" s="33"/>
      <c r="E23" s="10"/>
      <c r="F23" s="19"/>
      <c r="G23" s="11"/>
      <c r="H23" s="24" t="str">
        <f>IF(B23="","","Als "&amp;VLOOKUP(B23,Stakeholders!$A$3:$B$25,2)&amp;", wünsche ich mir"&amp;IF(LEFT(F23,1)="M"," unbedingt "," ")&amp;C23&amp;IF(D23="",".",", damit "&amp;D23&amp;"."))</f>
        <v/>
      </c>
      <c r="I23" s="13"/>
    </row>
    <row r="24" spans="1:9" x14ac:dyDescent="0.35">
      <c r="A24" s="8" t="str">
        <f t="shared" si="0"/>
        <v/>
      </c>
      <c r="B24" s="8"/>
      <c r="C24" s="33"/>
      <c r="D24" s="33"/>
      <c r="E24" s="10"/>
      <c r="F24" s="19"/>
      <c r="G24" s="11"/>
      <c r="H24" s="24" t="str">
        <f>IF(B24="","","Als "&amp;VLOOKUP(B24,Stakeholders!$A$3:$B$25,2)&amp;", wünsche ich mir"&amp;IF(LEFT(F24,1)="M"," unbedingt "," ")&amp;C24&amp;IF(D24="",".",", damit "&amp;D24&amp;"."))</f>
        <v/>
      </c>
      <c r="I24" s="13"/>
    </row>
    <row r="25" spans="1:9" x14ac:dyDescent="0.35">
      <c r="A25" s="8" t="str">
        <f t="shared" si="0"/>
        <v/>
      </c>
      <c r="B25" s="8"/>
      <c r="C25" s="33"/>
      <c r="D25" s="33"/>
      <c r="E25" s="10"/>
      <c r="F25" s="19"/>
      <c r="G25" s="11"/>
      <c r="H25" s="24" t="str">
        <f>IF(B25="","","Als "&amp;VLOOKUP(B25,Stakeholders!$A$3:$B$25,2)&amp;", wünsche ich mir"&amp;IF(LEFT(F25,1)="M"," unbedingt "," ")&amp;C25&amp;IF(D25="",".",", damit "&amp;D25&amp;"."))</f>
        <v/>
      </c>
      <c r="I25" s="13"/>
    </row>
    <row r="26" spans="1:9" x14ac:dyDescent="0.35">
      <c r="A26" s="8" t="str">
        <f t="shared" si="0"/>
        <v/>
      </c>
      <c r="B26" s="8"/>
      <c r="C26" s="33"/>
      <c r="D26" s="33"/>
      <c r="E26" s="10"/>
      <c r="F26" s="19"/>
      <c r="G26" s="11"/>
      <c r="H26" s="24" t="str">
        <f>IF(B26="","","Als "&amp;VLOOKUP(B26,Stakeholders!$A$3:$B$25,2)&amp;", wünsche ich mir"&amp;IF(LEFT(F26,1)="M"," unbedingt "," ")&amp;C26&amp;IF(D26="",".",", damit "&amp;D26&amp;"."))</f>
        <v/>
      </c>
      <c r="I26" s="13"/>
    </row>
    <row r="27" spans="1:9" x14ac:dyDescent="0.35">
      <c r="A27" s="8" t="str">
        <f t="shared" si="0"/>
        <v/>
      </c>
      <c r="B27" s="8"/>
      <c r="C27" s="33"/>
      <c r="D27" s="33"/>
      <c r="E27" s="10"/>
      <c r="F27" s="19"/>
      <c r="G27" s="11"/>
      <c r="H27" s="24" t="str">
        <f>IF(B27="","","Als "&amp;VLOOKUP(B27,Stakeholders!$A$3:$B$25,2)&amp;", wünsche ich mir"&amp;IF(LEFT(F27,1)="M"," unbedingt "," ")&amp;C27&amp;IF(D27="",".",", damit "&amp;D27&amp;"."))</f>
        <v/>
      </c>
      <c r="I27" s="13"/>
    </row>
    <row r="28" spans="1:9" x14ac:dyDescent="0.35">
      <c r="A28" s="8" t="str">
        <f t="shared" si="0"/>
        <v/>
      </c>
      <c r="B28" s="8"/>
      <c r="C28" s="33"/>
      <c r="D28" s="33"/>
      <c r="E28" s="10"/>
      <c r="F28" s="19"/>
      <c r="G28" s="11"/>
      <c r="H28" s="24" t="str">
        <f>IF(B28="","","Als "&amp;VLOOKUP(B28,Stakeholders!$A$3:$B$25,2)&amp;", wünsche ich mir"&amp;IF(LEFT(F28,1)="M"," unbedingt "," ")&amp;C28&amp;IF(D28="",".",", damit "&amp;D28&amp;"."))</f>
        <v/>
      </c>
      <c r="I28" s="13"/>
    </row>
    <row r="29" spans="1:9" x14ac:dyDescent="0.35">
      <c r="A29" s="8" t="str">
        <f t="shared" si="0"/>
        <v/>
      </c>
      <c r="B29" s="8"/>
      <c r="C29" s="33"/>
      <c r="D29" s="33"/>
      <c r="E29" s="10"/>
      <c r="F29" s="19"/>
      <c r="G29" s="11"/>
      <c r="H29" s="24" t="str">
        <f>IF(B29="","","Als "&amp;VLOOKUP(B29,Stakeholders!$A$3:$B$25,2)&amp;", wünsche ich mir"&amp;IF(LEFT(F29,1)="M"," unbedingt "," ")&amp;C29&amp;IF(D29="",".",", damit "&amp;D29&amp;"."))</f>
        <v/>
      </c>
      <c r="I29" s="13"/>
    </row>
    <row r="30" spans="1:9" x14ac:dyDescent="0.35">
      <c r="A30" s="8" t="str">
        <f t="shared" si="0"/>
        <v/>
      </c>
      <c r="B30" s="8"/>
      <c r="C30" s="33"/>
      <c r="D30" s="33"/>
      <c r="E30" s="10"/>
      <c r="F30" s="19"/>
      <c r="G30" s="11"/>
      <c r="H30" s="24" t="str">
        <f>IF(B30="","","Als "&amp;VLOOKUP(B30,Stakeholders!$A$3:$B$25,2)&amp;", wünsche ich mir"&amp;IF(LEFT(F30,1)="M"," unbedingt "," ")&amp;C30&amp;IF(D30="",".",", damit "&amp;D30&amp;"."))</f>
        <v/>
      </c>
      <c r="I30" s="13"/>
    </row>
    <row r="31" spans="1:9" x14ac:dyDescent="0.35">
      <c r="A31" s="8" t="str">
        <f t="shared" si="0"/>
        <v/>
      </c>
      <c r="B31" s="8"/>
      <c r="C31" s="33"/>
      <c r="D31" s="33"/>
      <c r="E31" s="10"/>
      <c r="F31" s="19"/>
      <c r="G31" s="11"/>
      <c r="H31" s="24" t="str">
        <f>IF(B31="","","Als "&amp;VLOOKUP(B31,Stakeholders!$A$3:$B$25,2)&amp;", wünsche ich mir"&amp;IF(LEFT(F31,1)="M"," unbedingt "," ")&amp;C31&amp;IF(D31="",".",", damit "&amp;D31&amp;"."))</f>
        <v/>
      </c>
      <c r="I31" s="13"/>
    </row>
    <row r="32" spans="1:9" x14ac:dyDescent="0.35">
      <c r="A32" s="8" t="str">
        <f t="shared" si="0"/>
        <v/>
      </c>
      <c r="B32" s="8"/>
      <c r="C32" s="33"/>
      <c r="D32" s="33"/>
      <c r="E32" s="10"/>
      <c r="F32" s="19"/>
      <c r="G32" s="11"/>
      <c r="H32" s="24" t="str">
        <f>IF(B32="","","Als "&amp;VLOOKUP(B32,Stakeholders!$A$3:$B$25,2)&amp;", wünsche ich mir"&amp;IF(LEFT(F32,1)="M"," unbedingt "," ")&amp;C32&amp;IF(D32="",".",", damit "&amp;D32&amp;"."))</f>
        <v/>
      </c>
      <c r="I32" s="13"/>
    </row>
    <row r="33" spans="1:9" x14ac:dyDescent="0.35">
      <c r="A33" s="8" t="str">
        <f t="shared" si="0"/>
        <v/>
      </c>
      <c r="B33" s="8"/>
      <c r="C33" s="33"/>
      <c r="D33" s="33"/>
      <c r="E33" s="10"/>
      <c r="F33" s="19"/>
      <c r="G33" s="11"/>
      <c r="H33" s="24" t="str">
        <f>IF(B33="","","Als "&amp;VLOOKUP(B33,Stakeholders!$A$3:$B$25,2)&amp;", wünsche ich mir"&amp;IF(LEFT(F33,1)="M"," unbedingt "," ")&amp;C33&amp;IF(D33="",".",", damit "&amp;D33&amp;"."))</f>
        <v/>
      </c>
      <c r="I33" s="13"/>
    </row>
    <row r="34" spans="1:9" x14ac:dyDescent="0.35">
      <c r="A34" s="8" t="str">
        <f t="shared" si="0"/>
        <v/>
      </c>
      <c r="B34" s="8"/>
      <c r="C34" s="33"/>
      <c r="D34" s="33"/>
      <c r="E34" s="10"/>
      <c r="F34" s="19"/>
      <c r="G34" s="11"/>
      <c r="H34" s="24" t="str">
        <f>IF(B34="","","Als "&amp;VLOOKUP(B34,Stakeholders!$A$3:$B$25,2)&amp;", wünsche ich mir"&amp;IF(LEFT(F34,1)="M"," unbedingt "," ")&amp;C34&amp;IF(D34="",".",", damit "&amp;D34&amp;"."))</f>
        <v/>
      </c>
      <c r="I34" s="13"/>
    </row>
    <row r="35" spans="1:9" x14ac:dyDescent="0.35">
      <c r="A35" s="8" t="str">
        <f t="shared" si="0"/>
        <v/>
      </c>
      <c r="B35" s="8"/>
      <c r="C35" s="33"/>
      <c r="D35" s="33"/>
      <c r="E35" s="10"/>
      <c r="F35" s="19"/>
      <c r="G35" s="11"/>
      <c r="H35" s="24" t="str">
        <f>IF(B35="","","Als "&amp;VLOOKUP(B35,Stakeholders!$A$3:$B$25,2)&amp;", wünsche ich mir"&amp;IF(LEFT(F35,1)="M"," unbedingt "," ")&amp;C35&amp;IF(D35="",".",", damit "&amp;D35&amp;"."))</f>
        <v/>
      </c>
      <c r="I35" s="13"/>
    </row>
    <row r="36" spans="1:9" x14ac:dyDescent="0.35">
      <c r="A36" s="8" t="str">
        <f t="shared" si="0"/>
        <v/>
      </c>
      <c r="B36" s="8"/>
      <c r="C36" s="33"/>
      <c r="D36" s="33"/>
      <c r="E36" s="20"/>
      <c r="F36" s="21"/>
      <c r="G36" s="22"/>
      <c r="H36" s="24" t="str">
        <f>IF(B36="","","Als "&amp;VLOOKUP(B36,Stakeholders!$A$3:$B$25,2)&amp;", wünsche ich mir"&amp;IF(LEFT(F36,1)="M"," unbedingt "," ")&amp;C36&amp;IF(D36="",".",", damit "&amp;D36&amp;"."))</f>
        <v/>
      </c>
      <c r="I36" s="13"/>
    </row>
    <row r="37" spans="1:9" ht="4.5" customHeight="1" x14ac:dyDescent="0.35">
      <c r="C37" s="33"/>
      <c r="D37" s="33"/>
      <c r="H37" s="32"/>
    </row>
    <row r="38" spans="1:9" x14ac:dyDescent="0.35">
      <c r="C38" s="33"/>
      <c r="D38" s="33"/>
      <c r="H38" s="33"/>
    </row>
    <row r="39" spans="1:9" x14ac:dyDescent="0.35">
      <c r="C39" s="33"/>
      <c r="D39" s="33"/>
      <c r="H39" s="33"/>
    </row>
    <row r="40" spans="1:9" x14ac:dyDescent="0.35">
      <c r="C40" s="33"/>
      <c r="D40" s="33"/>
      <c r="H40" s="33"/>
    </row>
    <row r="41" spans="1:9" x14ac:dyDescent="0.35">
      <c r="C41" s="33"/>
      <c r="D41" s="33"/>
      <c r="H41" s="33"/>
    </row>
    <row r="42" spans="1:9" x14ac:dyDescent="0.35">
      <c r="C42" s="33"/>
      <c r="D42" s="33"/>
      <c r="H42" s="33"/>
    </row>
    <row r="43" spans="1:9" x14ac:dyDescent="0.35">
      <c r="C43" s="33"/>
      <c r="D43" s="33"/>
      <c r="H43" s="33"/>
    </row>
    <row r="44" spans="1:9" x14ac:dyDescent="0.35">
      <c r="C44" s="33"/>
      <c r="D44" s="33"/>
      <c r="H44" s="33"/>
    </row>
    <row r="45" spans="1:9" x14ac:dyDescent="0.35">
      <c r="C45" s="33"/>
      <c r="D45" s="33"/>
      <c r="H45" s="33"/>
    </row>
    <row r="46" spans="1:9" x14ac:dyDescent="0.35">
      <c r="C46" s="33"/>
      <c r="D46" s="33"/>
      <c r="H46" s="33"/>
    </row>
    <row r="47" spans="1:9" x14ac:dyDescent="0.35">
      <c r="C47" s="33"/>
      <c r="D47" s="33"/>
      <c r="H47" s="33"/>
    </row>
    <row r="48" spans="1:9" x14ac:dyDescent="0.35">
      <c r="C48" s="33"/>
      <c r="D48" s="33"/>
      <c r="H48" s="33"/>
    </row>
    <row r="49" spans="3:8" x14ac:dyDescent="0.35">
      <c r="C49" s="33"/>
      <c r="D49" s="33"/>
      <c r="H49" s="33"/>
    </row>
    <row r="50" spans="3:8" x14ac:dyDescent="0.35">
      <c r="C50" s="33"/>
      <c r="D50" s="33"/>
      <c r="H50" s="33"/>
    </row>
    <row r="51" spans="3:8" x14ac:dyDescent="0.35">
      <c r="C51" s="33"/>
      <c r="D51" s="33"/>
      <c r="H51" s="33"/>
    </row>
    <row r="52" spans="3:8" x14ac:dyDescent="0.35">
      <c r="C52" s="33"/>
      <c r="D52" s="33"/>
      <c r="H52" s="33"/>
    </row>
    <row r="53" spans="3:8" x14ac:dyDescent="0.35">
      <c r="C53" s="33"/>
      <c r="D53" s="33"/>
      <c r="H53" s="33"/>
    </row>
    <row r="54" spans="3:8" x14ac:dyDescent="0.35">
      <c r="C54" s="33"/>
      <c r="D54" s="33"/>
      <c r="H54" s="33"/>
    </row>
    <row r="55" spans="3:8" x14ac:dyDescent="0.35">
      <c r="C55" s="33"/>
      <c r="D55" s="33"/>
      <c r="H55" s="33"/>
    </row>
    <row r="56" spans="3:8" x14ac:dyDescent="0.35">
      <c r="C56" s="33"/>
      <c r="D56" s="33"/>
      <c r="H56" s="33"/>
    </row>
    <row r="57" spans="3:8" x14ac:dyDescent="0.35">
      <c r="C57" s="33"/>
      <c r="D57" s="33"/>
      <c r="H57" s="33"/>
    </row>
    <row r="58" spans="3:8" x14ac:dyDescent="0.35">
      <c r="C58" s="33"/>
      <c r="D58" s="33"/>
      <c r="H58" s="33"/>
    </row>
    <row r="59" spans="3:8" x14ac:dyDescent="0.35">
      <c r="C59" s="33"/>
      <c r="D59" s="33"/>
      <c r="H59" s="33"/>
    </row>
    <row r="60" spans="3:8" x14ac:dyDescent="0.35">
      <c r="C60" s="33"/>
      <c r="D60" s="33"/>
      <c r="H60" s="33"/>
    </row>
    <row r="61" spans="3:8" x14ac:dyDescent="0.35">
      <c r="C61" s="33"/>
      <c r="D61" s="33"/>
      <c r="H61" s="33"/>
    </row>
    <row r="62" spans="3:8" x14ac:dyDescent="0.35">
      <c r="C62" s="33"/>
      <c r="D62" s="33"/>
      <c r="H62" s="33"/>
    </row>
    <row r="63" spans="3:8" x14ac:dyDescent="0.35">
      <c r="C63" s="33"/>
      <c r="D63" s="33"/>
      <c r="H63" s="33"/>
    </row>
    <row r="64" spans="3:8" x14ac:dyDescent="0.35">
      <c r="C64" s="33"/>
      <c r="D64" s="33"/>
      <c r="H64" s="33"/>
    </row>
    <row r="65" spans="3:8" x14ac:dyDescent="0.35">
      <c r="C65" s="33"/>
      <c r="D65" s="33"/>
      <c r="H65" s="33"/>
    </row>
    <row r="66" spans="3:8" x14ac:dyDescent="0.35">
      <c r="C66" s="33"/>
      <c r="D66" s="33"/>
      <c r="H66" s="33"/>
    </row>
    <row r="67" spans="3:8" x14ac:dyDescent="0.35">
      <c r="C67" s="33"/>
      <c r="D67" s="33"/>
      <c r="H67" s="33"/>
    </row>
    <row r="68" spans="3:8" x14ac:dyDescent="0.35">
      <c r="C68" s="33"/>
      <c r="D68" s="33"/>
      <c r="H68" s="33"/>
    </row>
    <row r="69" spans="3:8" x14ac:dyDescent="0.35">
      <c r="C69" s="33"/>
      <c r="D69" s="33"/>
      <c r="H69" s="33"/>
    </row>
    <row r="70" spans="3:8" x14ac:dyDescent="0.35">
      <c r="C70" s="33"/>
      <c r="D70" s="33"/>
      <c r="H70" s="33"/>
    </row>
    <row r="71" spans="3:8" x14ac:dyDescent="0.35">
      <c r="C71" s="33"/>
      <c r="D71" s="33"/>
      <c r="H71" s="33"/>
    </row>
    <row r="72" spans="3:8" x14ac:dyDescent="0.35">
      <c r="C72" s="33"/>
      <c r="D72" s="33"/>
      <c r="H72" s="33"/>
    </row>
    <row r="73" spans="3:8" x14ac:dyDescent="0.35">
      <c r="C73" s="33"/>
      <c r="D73" s="33"/>
      <c r="H73" s="33"/>
    </row>
    <row r="74" spans="3:8" x14ac:dyDescent="0.35">
      <c r="C74" s="33"/>
      <c r="D74" s="33"/>
      <c r="H74" s="33"/>
    </row>
    <row r="75" spans="3:8" x14ac:dyDescent="0.35">
      <c r="C75" s="33"/>
      <c r="D75" s="33"/>
      <c r="H75" s="33"/>
    </row>
    <row r="76" spans="3:8" x14ac:dyDescent="0.35">
      <c r="C76" s="33"/>
      <c r="D76" s="33"/>
      <c r="H76" s="33"/>
    </row>
    <row r="77" spans="3:8" x14ac:dyDescent="0.35">
      <c r="C77" s="33"/>
      <c r="D77" s="33"/>
      <c r="H77" s="33"/>
    </row>
    <row r="78" spans="3:8" x14ac:dyDescent="0.35">
      <c r="C78" s="33"/>
      <c r="D78" s="33"/>
      <c r="H78" s="33"/>
    </row>
    <row r="79" spans="3:8" x14ac:dyDescent="0.35">
      <c r="C79" s="33"/>
      <c r="D79" s="33"/>
      <c r="H79" s="33"/>
    </row>
    <row r="80" spans="3:8" x14ac:dyDescent="0.35">
      <c r="C80" s="33"/>
      <c r="D80" s="33"/>
      <c r="H80" s="33"/>
    </row>
    <row r="81" spans="3:8" x14ac:dyDescent="0.35">
      <c r="C81" s="33"/>
      <c r="D81" s="33"/>
      <c r="H81" s="33"/>
    </row>
    <row r="82" spans="3:8" x14ac:dyDescent="0.35">
      <c r="C82" s="33"/>
      <c r="D82" s="33"/>
      <c r="H82" s="33"/>
    </row>
    <row r="83" spans="3:8" x14ac:dyDescent="0.35">
      <c r="C83" s="33"/>
      <c r="D83" s="33"/>
      <c r="H83" s="33"/>
    </row>
    <row r="84" spans="3:8" x14ac:dyDescent="0.35">
      <c r="C84" s="33"/>
      <c r="D84" s="33"/>
      <c r="H84" s="33"/>
    </row>
    <row r="85" spans="3:8" x14ac:dyDescent="0.35">
      <c r="C85" s="33"/>
      <c r="D85" s="33"/>
      <c r="H85" s="33"/>
    </row>
    <row r="86" spans="3:8" x14ac:dyDescent="0.35">
      <c r="C86" s="33"/>
      <c r="D86" s="33"/>
      <c r="H86" s="33"/>
    </row>
    <row r="87" spans="3:8" x14ac:dyDescent="0.35">
      <c r="C87" s="33"/>
      <c r="D87" s="33"/>
      <c r="H87" s="33"/>
    </row>
    <row r="88" spans="3:8" x14ac:dyDescent="0.35">
      <c r="C88" s="33"/>
      <c r="D88" s="33"/>
      <c r="H88" s="33"/>
    </row>
    <row r="89" spans="3:8" x14ac:dyDescent="0.35">
      <c r="C89" s="33"/>
      <c r="D89" s="33"/>
      <c r="H89" s="33"/>
    </row>
    <row r="90" spans="3:8" x14ac:dyDescent="0.35">
      <c r="C90" s="33"/>
      <c r="D90" s="33"/>
      <c r="H90" s="33"/>
    </row>
    <row r="91" spans="3:8" x14ac:dyDescent="0.35">
      <c r="C91" s="33"/>
      <c r="D91" s="33"/>
      <c r="H91" s="33"/>
    </row>
    <row r="92" spans="3:8" x14ac:dyDescent="0.35">
      <c r="C92" s="33"/>
      <c r="D92" s="33"/>
      <c r="H92" s="33"/>
    </row>
    <row r="93" spans="3:8" x14ac:dyDescent="0.35">
      <c r="C93" s="33"/>
      <c r="D93" s="33"/>
      <c r="H93" s="33"/>
    </row>
    <row r="94" spans="3:8" x14ac:dyDescent="0.35">
      <c r="C94" s="33"/>
      <c r="D94" s="33"/>
      <c r="H94" s="33"/>
    </row>
    <row r="95" spans="3:8" x14ac:dyDescent="0.35">
      <c r="C95" s="33"/>
      <c r="D95" s="33"/>
      <c r="H95" s="33"/>
    </row>
    <row r="96" spans="3:8" x14ac:dyDescent="0.35">
      <c r="C96" s="33"/>
      <c r="D96" s="33"/>
      <c r="H96" s="33"/>
    </row>
    <row r="97" spans="3:8" x14ac:dyDescent="0.35">
      <c r="C97" s="33"/>
      <c r="D97" s="33"/>
      <c r="H97" s="33"/>
    </row>
    <row r="98" spans="3:8" x14ac:dyDescent="0.35">
      <c r="C98" s="33"/>
      <c r="D98" s="33"/>
      <c r="H98" s="33"/>
    </row>
    <row r="99" spans="3:8" x14ac:dyDescent="0.35">
      <c r="C99" s="33"/>
      <c r="D99" s="33"/>
      <c r="H99" s="33"/>
    </row>
  </sheetData>
  <mergeCells count="4">
    <mergeCell ref="E3:F3"/>
    <mergeCell ref="E4:F4"/>
    <mergeCell ref="A1:D1"/>
    <mergeCell ref="E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9"/>
  <sheetViews>
    <sheetView workbookViewId="0">
      <selection activeCell="B11" sqref="B11"/>
    </sheetView>
  </sheetViews>
  <sheetFormatPr baseColWidth="10" defaultRowHeight="14.5" x14ac:dyDescent="0.35"/>
  <cols>
    <col min="1" max="1" width="5.36328125" style="6" customWidth="1"/>
  </cols>
  <sheetData>
    <row r="1" spans="1:3" ht="21" x14ac:dyDescent="0.5">
      <c r="A1" s="44" t="s">
        <v>30</v>
      </c>
      <c r="B1" s="44"/>
      <c r="C1" s="44"/>
    </row>
    <row r="3" spans="1:3" x14ac:dyDescent="0.35">
      <c r="A3" s="6">
        <v>1</v>
      </c>
      <c r="B3" t="s">
        <v>95</v>
      </c>
    </row>
    <row r="4" spans="1:3" x14ac:dyDescent="0.35">
      <c r="A4" s="6">
        <f>A3+1</f>
        <v>2</v>
      </c>
      <c r="B4" t="s">
        <v>29</v>
      </c>
    </row>
    <row r="5" spans="1:3" x14ac:dyDescent="0.35">
      <c r="A5" s="6">
        <f t="shared" ref="A5:A8" si="0">A4+1</f>
        <v>3</v>
      </c>
      <c r="B5" t="s">
        <v>4</v>
      </c>
    </row>
    <row r="6" spans="1:3" x14ac:dyDescent="0.35">
      <c r="A6" s="6">
        <f t="shared" si="0"/>
        <v>4</v>
      </c>
      <c r="B6" t="s">
        <v>5</v>
      </c>
    </row>
    <row r="7" spans="1:3" x14ac:dyDescent="0.35">
      <c r="A7" s="6">
        <f t="shared" si="0"/>
        <v>5</v>
      </c>
      <c r="B7" t="s">
        <v>8</v>
      </c>
    </row>
    <row r="8" spans="1:3" x14ac:dyDescent="0.35">
      <c r="A8" s="6">
        <f t="shared" si="0"/>
        <v>6</v>
      </c>
      <c r="B8" t="s">
        <v>28</v>
      </c>
    </row>
    <row r="9" spans="1:3" x14ac:dyDescent="0.35">
      <c r="A9" s="6">
        <v>7</v>
      </c>
      <c r="B9" t="s">
        <v>94</v>
      </c>
    </row>
  </sheetData>
  <mergeCells count="1">
    <mergeCell ref="A1:C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7"/>
  <sheetViews>
    <sheetView tabSelected="1" topLeftCell="A10" zoomScale="70" zoomScaleNormal="70" workbookViewId="0">
      <selection activeCell="B20" sqref="B20:C27"/>
    </sheetView>
  </sheetViews>
  <sheetFormatPr baseColWidth="10" defaultRowHeight="23.5" x14ac:dyDescent="0.55000000000000004"/>
  <cols>
    <col min="1" max="1" width="3.54296875" customWidth="1"/>
    <col min="2" max="2" width="18" customWidth="1"/>
    <col min="8" max="8" width="68.453125" style="41" customWidth="1"/>
    <col min="9" max="9" width="76.7265625" style="41" customWidth="1"/>
  </cols>
  <sheetData>
    <row r="1" spans="1:9" x14ac:dyDescent="0.55000000000000004">
      <c r="A1" s="4" t="s">
        <v>18</v>
      </c>
    </row>
    <row r="2" spans="1:9" s="9" customFormat="1" ht="193.5" customHeight="1" x14ac:dyDescent="0.35">
      <c r="A2" s="8">
        <v>1</v>
      </c>
      <c r="B2" s="9" t="s">
        <v>59</v>
      </c>
      <c r="C2" s="9" t="s">
        <v>55</v>
      </c>
      <c r="D2" s="9" t="s">
        <v>65</v>
      </c>
      <c r="H2" s="42" t="s">
        <v>111</v>
      </c>
      <c r="I2" s="42" t="s">
        <v>125</v>
      </c>
    </row>
    <row r="3" spans="1:9" s="9" customFormat="1" ht="178.5" customHeight="1" x14ac:dyDescent="0.35">
      <c r="A3" s="8">
        <f>A2+1</f>
        <v>2</v>
      </c>
      <c r="B3" s="9" t="s">
        <v>0</v>
      </c>
      <c r="C3" s="9" t="s">
        <v>1</v>
      </c>
      <c r="D3" s="9" t="s">
        <v>85</v>
      </c>
      <c r="H3" s="42" t="s">
        <v>100</v>
      </c>
      <c r="I3" s="42"/>
    </row>
    <row r="4" spans="1:9" s="9" customFormat="1" ht="205.5" customHeight="1" x14ac:dyDescent="0.35">
      <c r="A4" s="8">
        <f t="shared" ref="A4:A9" si="0">A3+1</f>
        <v>3</v>
      </c>
      <c r="B4" s="9" t="s">
        <v>60</v>
      </c>
      <c r="C4" s="9" t="s">
        <v>66</v>
      </c>
      <c r="D4" s="9" t="s">
        <v>67</v>
      </c>
      <c r="H4" s="42" t="s">
        <v>118</v>
      </c>
      <c r="I4" s="42" t="s">
        <v>121</v>
      </c>
    </row>
    <row r="5" spans="1:9" s="9" customFormat="1" ht="194" customHeight="1" x14ac:dyDescent="0.35">
      <c r="A5" s="8">
        <f t="shared" si="0"/>
        <v>4</v>
      </c>
      <c r="B5" s="9" t="s">
        <v>96</v>
      </c>
      <c r="C5" s="9" t="s">
        <v>70</v>
      </c>
      <c r="D5" s="9" t="s">
        <v>71</v>
      </c>
      <c r="H5" s="42" t="s">
        <v>117</v>
      </c>
      <c r="I5" s="42" t="s">
        <v>122</v>
      </c>
    </row>
    <row r="6" spans="1:9" s="9" customFormat="1" ht="193.5" customHeight="1" x14ac:dyDescent="0.35">
      <c r="A6" s="8">
        <f t="shared" si="0"/>
        <v>5</v>
      </c>
      <c r="B6" s="9" t="s">
        <v>61</v>
      </c>
      <c r="C6" s="9" t="s">
        <v>72</v>
      </c>
      <c r="D6" s="9" t="s">
        <v>73</v>
      </c>
      <c r="H6" s="42" t="s">
        <v>119</v>
      </c>
      <c r="I6" s="42" t="s">
        <v>126</v>
      </c>
    </row>
    <row r="7" spans="1:9" s="9" customFormat="1" ht="194" customHeight="1" x14ac:dyDescent="0.35">
      <c r="A7" s="8">
        <f t="shared" si="0"/>
        <v>6</v>
      </c>
      <c r="B7" s="9" t="s">
        <v>62</v>
      </c>
      <c r="C7" s="9" t="s">
        <v>69</v>
      </c>
      <c r="D7" s="9" t="s">
        <v>68</v>
      </c>
      <c r="H7" s="42" t="s">
        <v>120</v>
      </c>
      <c r="I7" s="42" t="s">
        <v>124</v>
      </c>
    </row>
    <row r="8" spans="1:9" s="9" customFormat="1" ht="192.5" customHeight="1" x14ac:dyDescent="0.35">
      <c r="A8" s="8">
        <f t="shared" si="0"/>
        <v>7</v>
      </c>
      <c r="B8" s="9" t="s">
        <v>63</v>
      </c>
      <c r="C8" s="9" t="s">
        <v>74</v>
      </c>
      <c r="D8" s="9" t="s">
        <v>75</v>
      </c>
      <c r="H8" s="42" t="s">
        <v>114</v>
      </c>
      <c r="I8" s="42" t="s">
        <v>127</v>
      </c>
    </row>
    <row r="9" spans="1:9" s="9" customFormat="1" ht="193.5" customHeight="1" x14ac:dyDescent="0.35">
      <c r="A9" s="8">
        <f t="shared" si="0"/>
        <v>8</v>
      </c>
      <c r="B9" s="9" t="s">
        <v>64</v>
      </c>
      <c r="C9" s="9" t="s">
        <v>76</v>
      </c>
      <c r="D9" s="9" t="s">
        <v>77</v>
      </c>
      <c r="H9" s="42" t="s">
        <v>115</v>
      </c>
      <c r="I9" s="42" t="s">
        <v>123</v>
      </c>
    </row>
    <row r="14" spans="1:9" x14ac:dyDescent="0.55000000000000004">
      <c r="A14" s="4" t="s">
        <v>56</v>
      </c>
    </row>
    <row r="15" spans="1:9" x14ac:dyDescent="0.55000000000000004">
      <c r="A15" t="s">
        <v>57</v>
      </c>
    </row>
    <row r="16" spans="1:9" x14ac:dyDescent="0.55000000000000004">
      <c r="A16" t="s">
        <v>58</v>
      </c>
    </row>
    <row r="20" spans="2:3" x14ac:dyDescent="0.55000000000000004">
      <c r="B20" s="9" t="s">
        <v>55</v>
      </c>
      <c r="C20" s="9" t="s">
        <v>65</v>
      </c>
    </row>
    <row r="21" spans="2:3" x14ac:dyDescent="0.55000000000000004">
      <c r="B21" s="9" t="s">
        <v>66</v>
      </c>
      <c r="C21" s="9" t="s">
        <v>67</v>
      </c>
    </row>
    <row r="22" spans="2:3" x14ac:dyDescent="0.55000000000000004">
      <c r="B22" s="9" t="s">
        <v>70</v>
      </c>
      <c r="C22" s="9" t="s">
        <v>71</v>
      </c>
    </row>
    <row r="23" spans="2:3" x14ac:dyDescent="0.55000000000000004">
      <c r="B23" s="9" t="s">
        <v>72</v>
      </c>
      <c r="C23" s="9" t="s">
        <v>73</v>
      </c>
    </row>
    <row r="24" spans="2:3" x14ac:dyDescent="0.55000000000000004">
      <c r="B24" s="9" t="s">
        <v>1</v>
      </c>
      <c r="C24" s="9" t="s">
        <v>85</v>
      </c>
    </row>
    <row r="25" spans="2:3" x14ac:dyDescent="0.55000000000000004">
      <c r="B25" s="9" t="s">
        <v>69</v>
      </c>
      <c r="C25" s="9" t="s">
        <v>68</v>
      </c>
    </row>
    <row r="26" spans="2:3" x14ac:dyDescent="0.55000000000000004">
      <c r="B26" s="9" t="s">
        <v>74</v>
      </c>
      <c r="C26" s="9" t="s">
        <v>75</v>
      </c>
    </row>
    <row r="27" spans="2:3" x14ac:dyDescent="0.55000000000000004">
      <c r="B27" s="9" t="s">
        <v>76</v>
      </c>
      <c r="C27" s="9" t="s">
        <v>77</v>
      </c>
    </row>
  </sheetData>
  <sortState ref="B20:C27">
    <sortCondition ref="C20:C27"/>
  </sortState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2:D18"/>
  <sheetViews>
    <sheetView workbookViewId="0">
      <selection activeCell="C4" sqref="C4"/>
    </sheetView>
  </sheetViews>
  <sheetFormatPr baseColWidth="10" defaultRowHeight="14.5" x14ac:dyDescent="0.35"/>
  <cols>
    <col min="1" max="1" width="15.6328125" customWidth="1"/>
    <col min="2" max="2" width="8.26953125" customWidth="1"/>
    <col min="3" max="3" width="24.6328125" bestFit="1" customWidth="1"/>
    <col min="4" max="4" width="79" customWidth="1"/>
  </cols>
  <sheetData>
    <row r="2" spans="1:4" s="1" customFormat="1" ht="15.5" x14ac:dyDescent="0.35">
      <c r="A2" s="38" t="s">
        <v>6</v>
      </c>
      <c r="B2" s="38" t="s">
        <v>98</v>
      </c>
      <c r="C2" s="38" t="s">
        <v>99</v>
      </c>
      <c r="D2" s="38" t="s">
        <v>97</v>
      </c>
    </row>
    <row r="3" spans="1:4" x14ac:dyDescent="0.35">
      <c r="A3" t="str">
        <f>Team!B2</f>
        <v>Team menber 1</v>
      </c>
      <c r="B3" t="str">
        <f>Team!C2</f>
        <v>Miro</v>
      </c>
      <c r="C3" t="s">
        <v>116</v>
      </c>
    </row>
    <row r="4" spans="1:4" x14ac:dyDescent="0.35">
      <c r="A4" t="str">
        <f>Team!B3</f>
        <v>Scrum Master</v>
      </c>
      <c r="B4" t="str">
        <f>Team!C3</f>
        <v>Hugo</v>
      </c>
    </row>
    <row r="5" spans="1:4" x14ac:dyDescent="0.35">
      <c r="A5" t="str">
        <f>Team!B4</f>
        <v>Team menber 2</v>
      </c>
      <c r="B5" t="str">
        <f>Team!C4</f>
        <v>Nina</v>
      </c>
      <c r="C5" t="s">
        <v>105</v>
      </c>
      <c r="D5" t="s">
        <v>102</v>
      </c>
    </row>
    <row r="6" spans="1:4" x14ac:dyDescent="0.35">
      <c r="A6" t="str">
        <f>Team!B5</f>
        <v>Product owner</v>
      </c>
      <c r="B6" t="str">
        <f>Team!C5</f>
        <v>Joel</v>
      </c>
      <c r="C6" t="s">
        <v>112</v>
      </c>
      <c r="D6" t="s">
        <v>107</v>
      </c>
    </row>
    <row r="7" spans="1:4" x14ac:dyDescent="0.35">
      <c r="A7" t="str">
        <f>Team!B6</f>
        <v>Team menber 3</v>
      </c>
      <c r="B7" t="str">
        <f>Team!C6</f>
        <v>Tim</v>
      </c>
      <c r="C7" t="s">
        <v>113</v>
      </c>
      <c r="D7" t="s">
        <v>110</v>
      </c>
    </row>
    <row r="8" spans="1:4" x14ac:dyDescent="0.35">
      <c r="A8" t="str">
        <f>Team!B7</f>
        <v>Team menber 4</v>
      </c>
      <c r="B8" t="str">
        <f>Team!C7</f>
        <v>Roger</v>
      </c>
      <c r="C8" t="s">
        <v>113</v>
      </c>
    </row>
    <row r="9" spans="1:4" x14ac:dyDescent="0.35">
      <c r="A9" t="str">
        <f>Team!B8</f>
        <v>Team menber 5</v>
      </c>
      <c r="B9" t="str">
        <f>Team!C8</f>
        <v>David</v>
      </c>
      <c r="D9" t="s">
        <v>109</v>
      </c>
    </row>
    <row r="10" spans="1:4" x14ac:dyDescent="0.35">
      <c r="A10" t="str">
        <f>Team!B9</f>
        <v>Team menber 6</v>
      </c>
      <c r="B10" t="str">
        <f>Team!C9</f>
        <v>Yanis</v>
      </c>
      <c r="D10" t="s">
        <v>104</v>
      </c>
    </row>
    <row r="12" spans="1:4" x14ac:dyDescent="0.35">
      <c r="C12" t="s">
        <v>103</v>
      </c>
      <c r="D12" t="s">
        <v>101</v>
      </c>
    </row>
    <row r="18" spans="3:4" x14ac:dyDescent="0.35">
      <c r="C18" t="s">
        <v>106</v>
      </c>
      <c r="D18" t="s">
        <v>108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Sprint1Backlog</vt:lpstr>
      <vt:lpstr>SortiesAndPBL</vt:lpstr>
      <vt:lpstr>Stakeholders</vt:lpstr>
      <vt:lpstr>Team</vt:lpstr>
      <vt:lpstr>Tools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2016-05-25T09:54:45Z</dcterms:modified>
</cp:coreProperties>
</file>